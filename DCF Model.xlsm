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showInkAnnotation="0" codeName="ThisWorkbook" autoCompressPictures="0"/>
  <mc:AlternateContent xmlns:mc="http://schemas.openxmlformats.org/markup-compatibility/2006">
    <mc:Choice Requires="x15">
      <x15ac:absPath xmlns:x15ac="http://schemas.microsoft.com/office/spreadsheetml/2010/11/ac" url="C:\Users\213lu\Documents\Python_Scripts\"/>
    </mc:Choice>
  </mc:AlternateContent>
  <xr:revisionPtr revIDLastSave="0" documentId="13_ncr:1_{88ECB09C-649E-478B-9897-C605623DE766}" xr6:coauthVersionLast="45" xr6:coauthVersionMax="45" xr10:uidLastSave="{00000000-0000-0000-0000-000000000000}"/>
  <bookViews>
    <workbookView xWindow="-120" yWindow="-120" windowWidth="29040" windowHeight="15840" tabRatio="500" activeTab="1" xr2:uid="{00000000-000D-0000-FFFF-FFFF00000000}"/>
  </bookViews>
  <sheets>
    <sheet name="Overview" sheetId="3" r:id="rId1"/>
    <sheet name="DCF Model" sheetId="4" r:id="rId2"/>
    <sheet name="WACC" sheetId="5" r:id="rId3"/>
    <sheet name="Income Statement" sheetId="6" r:id="rId4"/>
    <sheet name="Cash Flow Statement" sheetId="7" r:id="rId5"/>
    <sheet name="Balance Sheet Statement" sheetId="8" r:id="rId6"/>
    <sheet name="Comparable Companies" sheetId="9" r:id="rId7"/>
    <sheet name="xlwings.conf" sheetId="2" state="hidden" r:id="rId8"/>
  </sheets>
  <definedNames>
    <definedName name="_xlchart.v1.0" hidden="1">'DCF Model'!$J$38:$J$40</definedName>
    <definedName name="_xlchart.v1.1" hidden="1">'DCF Model'!$L$38:$L$40</definedName>
    <definedName name="CIQWBGuid" hidden="1">"2cd8126d-26c3-430c-b7fa-a069e3a1fc62"</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41666.7099189815</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91029" iterate="1" iterateCount="1000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11" i="4" l="1"/>
  <c r="C3" i="5"/>
  <c r="C9" i="5" l="1"/>
  <c r="C10" i="5" s="1"/>
  <c r="C4" i="5"/>
  <c r="C15" i="5" s="1"/>
  <c r="C16" i="5" s="1"/>
  <c r="D42" i="4"/>
  <c r="H36" i="4"/>
  <c r="D36" i="4"/>
  <c r="H35" i="4"/>
  <c r="D35" i="4"/>
  <c r="I26" i="4"/>
  <c r="H26" i="4"/>
  <c r="G26" i="4"/>
  <c r="F26" i="4"/>
  <c r="E26" i="4"/>
  <c r="I24" i="4"/>
  <c r="H24" i="4"/>
  <c r="G24" i="4"/>
  <c r="F24" i="4"/>
  <c r="E24" i="4"/>
  <c r="F21" i="4"/>
  <c r="F20" i="4" s="1"/>
  <c r="E20" i="4"/>
  <c r="D20" i="4"/>
  <c r="H38" i="4"/>
  <c r="L38" i="4" s="1"/>
  <c r="H28" i="4" l="1"/>
  <c r="I28" i="4"/>
  <c r="H34" i="4"/>
  <c r="H37" i="4" s="1"/>
  <c r="D29" i="4" s="1"/>
  <c r="D31" i="4" s="1"/>
  <c r="C19" i="5"/>
  <c r="D6" i="4" s="1"/>
  <c r="E28" i="4"/>
  <c r="F28" i="4"/>
  <c r="G28" i="4"/>
  <c r="E22" i="4"/>
  <c r="F22" i="4"/>
  <c r="F19" i="4"/>
  <c r="G21" i="4"/>
  <c r="E19" i="4"/>
  <c r="F30" i="4" l="1"/>
  <c r="D41" i="4"/>
  <c r="D43" i="4" s="1"/>
  <c r="J29" i="4" s="1"/>
  <c r="J31" i="4" s="1"/>
  <c r="E31" i="4"/>
  <c r="F31" i="4"/>
  <c r="E30" i="4"/>
  <c r="G20" i="4"/>
  <c r="H21" i="4"/>
  <c r="J30" i="4" l="1"/>
  <c r="G19" i="4"/>
  <c r="G22" i="4"/>
  <c r="H20" i="4"/>
  <c r="I21" i="4"/>
  <c r="I20" i="4" s="1"/>
  <c r="J20" i="4" l="1"/>
  <c r="I19" i="4"/>
  <c r="H19" i="4"/>
  <c r="I22" i="4"/>
  <c r="G30" i="4"/>
  <c r="G31" i="4"/>
  <c r="H22" i="4"/>
  <c r="H30" i="4" l="1"/>
  <c r="H31" i="4"/>
  <c r="I30" i="4"/>
  <c r="D34" i="4" s="1"/>
  <c r="D37" i="4" s="1"/>
  <c r="D38" i="4" s="1"/>
  <c r="I31" i="4"/>
  <c r="L35" i="4" l="1"/>
  <c r="L34" i="4"/>
  <c r="L39" i="4"/>
  <c r="L40" i="4" s="1"/>
  <c r="B32" i="3" l="1"/>
  <c r="E29" i="3"/>
  <c r="E28" i="3"/>
  <c r="E27" i="3"/>
  <c r="H12" i="3"/>
  <c r="B12" i="3"/>
  <c r="B7" i="3"/>
</calcChain>
</file>

<file path=xl/sharedStrings.xml><?xml version="1.0" encoding="utf-8"?>
<sst xmlns="http://schemas.openxmlformats.org/spreadsheetml/2006/main" count="158" uniqueCount="146">
  <si>
    <t>Interpreter</t>
  </si>
  <si>
    <t>PYTHONPATH</t>
  </si>
  <si>
    <t>UDF Modules</t>
  </si>
  <si>
    <t>Debug UDFs</t>
  </si>
  <si>
    <t>Log File</t>
  </si>
  <si>
    <t>Use UDF Server</t>
  </si>
  <si>
    <t>pythonw</t>
  </si>
  <si>
    <t>Instructions:</t>
  </si>
  <si>
    <t>You can delete the rows you don't need. The settings have to start in cell A1.</t>
  </si>
  <si>
    <t>Conda Base</t>
  </si>
  <si>
    <t>Conda Env</t>
  </si>
  <si>
    <t>Rename this sheet to "xlwings.conf" to activate it.</t>
  </si>
  <si>
    <t>When activated, these settings override the settings in the addin (.xlwings/xlwings.conf file in the user directory) and xlwings.conf in the same directory as this Excel file.</t>
  </si>
  <si>
    <t>If you want to rely on the settings in the addin or the xlwings.conf file, then you can delete this sheet.</t>
  </si>
  <si>
    <t>DCF Model</t>
  </si>
  <si>
    <t>Share Code:</t>
  </si>
  <si>
    <t>Share Name:</t>
  </si>
  <si>
    <t>"GET UP AND GO TIME"</t>
  </si>
  <si>
    <t>Industry:</t>
  </si>
  <si>
    <t>Current Price:</t>
  </si>
  <si>
    <t>Dividend Yield:</t>
  </si>
  <si>
    <t>Market Value</t>
  </si>
  <si>
    <t>52 Week Price range</t>
  </si>
  <si>
    <t>DCF Valuation</t>
  </si>
  <si>
    <t>Comparable Companies</t>
  </si>
  <si>
    <t>Assumptions</t>
  </si>
  <si>
    <t>Tax Rate</t>
  </si>
  <si>
    <t>Discount Rate</t>
  </si>
  <si>
    <t>Perpetural Growth Rate</t>
  </si>
  <si>
    <t>EV/EBITDA Mulltiple</t>
  </si>
  <si>
    <t>Transaction Date</t>
  </si>
  <si>
    <t>Fiscal Year End</t>
  </si>
  <si>
    <t>Current Price</t>
  </si>
  <si>
    <t>Shares Outstanding</t>
  </si>
  <si>
    <t>Debt</t>
  </si>
  <si>
    <t>Cash</t>
  </si>
  <si>
    <t>Capex</t>
  </si>
  <si>
    <t>Discounted Cash Flow</t>
  </si>
  <si>
    <t>Entry</t>
  </si>
  <si>
    <t>Exit</t>
  </si>
  <si>
    <t>Date</t>
  </si>
  <si>
    <t>Time Periods</t>
  </si>
  <si>
    <t>Year Fraction</t>
  </si>
  <si>
    <t>EBIT</t>
  </si>
  <si>
    <t>Less: Cash Taxes</t>
  </si>
  <si>
    <t>Plus: D&amp;A</t>
  </si>
  <si>
    <t>Less: Capex</t>
  </si>
  <si>
    <t>Less: Changes in NWC</t>
  </si>
  <si>
    <t>Unlevered FCF</t>
  </si>
  <si>
    <t>(Entry)/Exit</t>
  </si>
  <si>
    <t>Transaction CF</t>
  </si>
  <si>
    <t>Intrinsic Value</t>
  </si>
  <si>
    <t>Rate of Return</t>
  </si>
  <si>
    <t>Enterprise Value</t>
  </si>
  <si>
    <t>Market Cap</t>
  </si>
  <si>
    <t>Target Price Upside</t>
  </si>
  <si>
    <t>Plus: Cash</t>
  </si>
  <si>
    <t>Plus: Debt</t>
  </si>
  <si>
    <t>Internal Rate of Return (IRR)</t>
  </si>
  <si>
    <t>Less: Debt</t>
  </si>
  <si>
    <t>Less: Cash</t>
  </si>
  <si>
    <t>Equity Value</t>
  </si>
  <si>
    <t>Market Value vs Intrinsic Value</t>
  </si>
  <si>
    <t>Equity Value/Share</t>
  </si>
  <si>
    <t>Upside</t>
  </si>
  <si>
    <t>Terminal Value</t>
  </si>
  <si>
    <t>Perpetural Growth</t>
  </si>
  <si>
    <t>EV/EBITDA</t>
  </si>
  <si>
    <t>Average</t>
  </si>
  <si>
    <t>Step 1: Get EBIT and D&amp;A from the income statement</t>
  </si>
  <si>
    <t>Step 2: Calculate the net working capital</t>
  </si>
  <si>
    <t>There are two ways to find NWC:</t>
  </si>
  <si>
    <t>1. NWC = Current Assets (less cash) - Current Liabilities (less debt)</t>
  </si>
  <si>
    <t>2. NWC = Accounts Receivable + Inventory - Accounts Payable</t>
  </si>
  <si>
    <t>WACC Calculation</t>
  </si>
  <si>
    <t>Target Capital Structure</t>
  </si>
  <si>
    <t>Debt-to-Total Capitalization</t>
  </si>
  <si>
    <t>debt / shareholder equity</t>
  </si>
  <si>
    <t>Equity-to-Total Capitalization</t>
  </si>
  <si>
    <t>Levered Beta</t>
  </si>
  <si>
    <t>Cost of Debt</t>
  </si>
  <si>
    <t>cost of debt</t>
  </si>
  <si>
    <t xml:space="preserve">   After-tax Cost of Debt</t>
  </si>
  <si>
    <t>CAPM</t>
  </si>
  <si>
    <r>
      <t>Risk-free Rate</t>
    </r>
    <r>
      <rPr>
        <vertAlign val="superscript"/>
        <sz val="10"/>
        <color indexed="8"/>
        <rFont val="Arial"/>
        <family val="2"/>
      </rPr>
      <t>(1)</t>
    </r>
  </si>
  <si>
    <r>
      <t>Market Risk Premium</t>
    </r>
    <r>
      <rPr>
        <vertAlign val="superscript"/>
        <sz val="10"/>
        <color indexed="8"/>
        <rFont val="Arial"/>
        <family val="2"/>
      </rPr>
      <t>(2)</t>
    </r>
  </si>
  <si>
    <t>Unlevered Beta</t>
  </si>
  <si>
    <t xml:space="preserve">   Cost of Equity</t>
  </si>
  <si>
    <t xml:space="preserve">   WACC</t>
  </si>
  <si>
    <t>Cost Of Revenue</t>
  </si>
  <si>
    <t>Discontinued Operations</t>
  </si>
  <si>
    <t>Ebit</t>
  </si>
  <si>
    <t>Effect Of Accounting Charges</t>
  </si>
  <si>
    <t>Extraordinary Items</t>
  </si>
  <si>
    <t>Gross Profit</t>
  </si>
  <si>
    <t>Income Before Tax</t>
  </si>
  <si>
    <t>Income Tax Expense</t>
  </si>
  <si>
    <t>Interest Expense</t>
  </si>
  <si>
    <t>Minority Interest</t>
  </si>
  <si>
    <t>Net Income</t>
  </si>
  <si>
    <t>Net Income Applicable To Common Shares</t>
  </si>
  <si>
    <t>Net Income From Continuing Ops</t>
  </si>
  <si>
    <t>Non Recurring</t>
  </si>
  <si>
    <t>Operating Income</t>
  </si>
  <si>
    <t>Other Items</t>
  </si>
  <si>
    <t>Other Operating Expenses</t>
  </si>
  <si>
    <t>Research Development</t>
  </si>
  <si>
    <t>Selling General Administrative</t>
  </si>
  <si>
    <t>Total Operating Expenses</t>
  </si>
  <si>
    <t>Total Other Income Expense Net</t>
  </si>
  <si>
    <t>Total Revenue</t>
  </si>
  <si>
    <t>Capital Expenditures</t>
  </si>
  <si>
    <t>Change In Cash</t>
  </si>
  <si>
    <t>Change To Account Receivables</t>
  </si>
  <si>
    <t>Change To Liabilities</t>
  </si>
  <si>
    <t>Change To Netincome</t>
  </si>
  <si>
    <t>Change To Operating Activities</t>
  </si>
  <si>
    <t>Depreciation</t>
  </si>
  <si>
    <t>Issuance Of Stock</t>
  </si>
  <si>
    <t>Net Borrowings</t>
  </si>
  <si>
    <t>Other Cashflows From Financing Activities</t>
  </si>
  <si>
    <t>Total Cash From Financing Activities</t>
  </si>
  <si>
    <t>Total Cash From Operating Activities</t>
  </si>
  <si>
    <t>Total Cashflows From Investing Activities</t>
  </si>
  <si>
    <t>Accounts Payable</t>
  </si>
  <si>
    <t>Common Stock</t>
  </si>
  <si>
    <t>Net Receivables</t>
  </si>
  <si>
    <t>Net Tangible Assets</t>
  </si>
  <si>
    <t>Other Assets</t>
  </si>
  <si>
    <t>Other Current Liab</t>
  </si>
  <si>
    <t>Other Stockholder Equity</t>
  </si>
  <si>
    <t>Property Plant Equipment</t>
  </si>
  <si>
    <t>Retained Earnings</t>
  </si>
  <si>
    <t>Total Assets</t>
  </si>
  <si>
    <t>Total Current Assets</t>
  </si>
  <si>
    <t>Total Current Liabilities</t>
  </si>
  <si>
    <t>Total Liab</t>
  </si>
  <si>
    <t>Total Stockholder Equity</t>
  </si>
  <si>
    <t>Treasury Stock</t>
  </si>
  <si>
    <t>Share holders equity</t>
  </si>
  <si>
    <t>EVN</t>
  </si>
  <si>
    <t>Evolution Mining Limited</t>
  </si>
  <si>
    <t>http://evolutionmining.com.au</t>
  </si>
  <si>
    <t>Gold</t>
  </si>
  <si>
    <t>Capital Surplus</t>
  </si>
  <si>
    <t>Hyperion Metals Limited engages in the exploration and development of mineral properties. The company explores for epithermal and replacement style precious and base metal mineralization, such as zinc, lead, copper, and silver. It holds 100% interest in the Milford project consisting of 100 claims located in Beaver County, Utah; and Titan Heavy Mineral Sand project located in the southeast of the United States. The company was formerly known as TAO Commodities Limited and changed its name to Hyperion Metals Limited in April 2021. Hyperion Metals Limited was incorporated in 2017 and is based in Perth, Australia.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</si>
</sst>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_-* #,##0_-;\(#,##0\)_-;_-* &quot;-&quot;_-;_-@_-"/>
    <numFmt numFmtId="166" formatCode="_-* #,##0_-;\-* #,##0_-;_-* &quot;-&quot;??_-;_-@_-"/>
    <numFmt numFmtId="167" formatCode="_(* #,##0_);_(* \(#,##0\);_(* &quot;-&quot;??_);_(@_)"/>
    <numFmt numFmtId="168" formatCode="_-* #,##0.00_-;\(#,##0.00\)_-;_-* &quot;-&quot;_-;_-@_-"/>
    <numFmt numFmtId="169" formatCode="_(* #,##0.0%_);_(* \(#,##0.0%\);_(* &quot;--- %&quot;_);_(* @_%_)"/>
    <numFmt numFmtId="170" formatCode="_(* #,##0%;_(* \(#,##0%\);_(* &quot;- %&quot;_);_(* @_%_)"/>
    <numFmt numFmtId="171" formatCode="_(* #,##0.0%;_(* \(#,##0.0%\);_(* &quot;- %&quot;_);_(* @_%_)"/>
    <numFmt numFmtId="172" formatCode="* _(##,##0.00000_);[Red]* \(##,##0.00000\);* _(&quot;-&quot;?_);_(@_)"/>
    <numFmt numFmtId="173" formatCode="_(* #,##0.0000%;_(* \(#,##0.0000%\);_(* &quot;- %&quot;_);_(* @_%_)"/>
  </numFmts>
  <fonts count="36">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1"/>
      <color rgb="FF000000"/>
      <name val="Calibri"/>
      <family val="2"/>
    </font>
    <font>
      <sz val="12"/>
      <color theme="1"/>
      <name val="Open Sans"/>
      <family val="2"/>
    </font>
    <font>
      <b/>
      <sz val="18"/>
      <color theme="0"/>
      <name val="Open Sans"/>
      <family val="2"/>
    </font>
    <font>
      <b/>
      <sz val="11"/>
      <color theme="0"/>
      <name val="Open Sans"/>
      <family val="2"/>
    </font>
    <font>
      <b/>
      <sz val="10"/>
      <color theme="0"/>
      <name val="Open Sans"/>
      <family val="2"/>
    </font>
    <font>
      <sz val="11"/>
      <color theme="1"/>
      <name val="Arial Narrow"/>
      <family val="2"/>
    </font>
    <font>
      <b/>
      <sz val="16"/>
      <color theme="1"/>
      <name val="Arial Narrow"/>
      <family val="2"/>
    </font>
    <font>
      <u/>
      <sz val="11"/>
      <color theme="10"/>
      <name val="Calibri"/>
      <family val="2"/>
      <scheme val="minor"/>
    </font>
    <font>
      <u/>
      <sz val="10"/>
      <color theme="10"/>
      <name val="Arial"/>
      <family val="2"/>
    </font>
    <font>
      <sz val="12"/>
      <color theme="1"/>
      <name val="Calibri"/>
      <family val="2"/>
      <scheme val="minor"/>
    </font>
    <font>
      <sz val="8"/>
      <color theme="0"/>
      <name val="Open Sans"/>
      <family val="2"/>
    </font>
    <font>
      <sz val="12"/>
      <color theme="1"/>
      <name val="Arial Narrow"/>
      <family val="2"/>
    </font>
    <font>
      <sz val="10"/>
      <color theme="1"/>
      <name val="Open Sans"/>
      <family val="2"/>
    </font>
    <font>
      <b/>
      <sz val="10"/>
      <color theme="1"/>
      <name val="Open Sans"/>
      <family val="2"/>
    </font>
    <font>
      <sz val="10"/>
      <color rgb="FF0000FF"/>
      <name val="Open Sans"/>
      <family val="2"/>
    </font>
    <font>
      <b/>
      <sz val="10"/>
      <name val="Open Sans"/>
      <family val="2"/>
    </font>
    <font>
      <sz val="10"/>
      <name val="Open Sans"/>
      <family val="2"/>
    </font>
    <font>
      <i/>
      <sz val="10"/>
      <color theme="1"/>
      <name val="Open Sans"/>
      <family val="2"/>
    </font>
    <font>
      <i/>
      <sz val="10"/>
      <name val="Open Sans"/>
      <family val="2"/>
    </font>
    <font>
      <b/>
      <sz val="10"/>
      <color theme="1"/>
      <name val="Open Sans"/>
    </font>
    <font>
      <i/>
      <sz val="12"/>
      <color theme="1"/>
      <name val="Arial Narrow"/>
      <family val="2"/>
    </font>
    <font>
      <sz val="10"/>
      <name val="Arial"/>
      <family val="2"/>
    </font>
    <font>
      <b/>
      <u val="singleAccounting"/>
      <sz val="10"/>
      <color indexed="9"/>
      <name val="Arial"/>
      <family val="2"/>
    </font>
    <font>
      <sz val="9"/>
      <color indexed="0"/>
      <name val="Helvetica"/>
      <family val="2"/>
    </font>
    <font>
      <b/>
      <i/>
      <sz val="10"/>
      <color indexed="8"/>
      <name val="Arial"/>
      <family val="2"/>
    </font>
    <font>
      <sz val="10"/>
      <color indexed="8"/>
      <name val="Arial"/>
      <family val="2"/>
    </font>
    <font>
      <sz val="9"/>
      <name val="Times New Roman"/>
      <family val="1"/>
    </font>
    <font>
      <sz val="10"/>
      <color indexed="12"/>
      <name val="Arial"/>
      <family val="2"/>
    </font>
    <font>
      <b/>
      <sz val="10"/>
      <color indexed="8"/>
      <name val="Arial"/>
      <family val="2"/>
    </font>
    <font>
      <b/>
      <sz val="10"/>
      <name val="Arial"/>
      <family val="2"/>
    </font>
    <font>
      <vertAlign val="superscript"/>
      <sz val="10"/>
      <color indexed="8"/>
      <name val="Arial"/>
      <family val="2"/>
    </font>
    <font>
      <b/>
      <sz val="10"/>
      <name val="MS Sans Serif"/>
      <family val="2"/>
    </font>
  </fonts>
  <fills count="11">
    <fill>
      <patternFill patternType="none"/>
    </fill>
    <fill>
      <patternFill patternType="gray125"/>
    </fill>
    <fill>
      <patternFill patternType="solid">
        <fgColor rgb="FF132E57"/>
        <bgColor indexed="64"/>
      </patternFill>
    </fill>
    <fill>
      <patternFill patternType="solid">
        <fgColor theme="6" tint="0.79998168889431442"/>
        <bgColor indexed="64"/>
      </patternFill>
    </fill>
    <fill>
      <patternFill patternType="solid">
        <fgColor theme="0"/>
        <bgColor indexed="64"/>
      </patternFill>
    </fill>
    <fill>
      <patternFill patternType="solid">
        <fgColor theme="2" tint="0.39997558519241921"/>
        <bgColor indexed="64"/>
      </patternFill>
    </fill>
    <fill>
      <patternFill patternType="solid">
        <fgColor theme="3" tint="0.79998168889431442"/>
        <bgColor indexed="64"/>
      </patternFill>
    </fill>
    <fill>
      <patternFill patternType="solid">
        <fgColor theme="8"/>
        <bgColor indexed="64"/>
      </patternFill>
    </fill>
    <fill>
      <patternFill patternType="solid">
        <fgColor theme="6" tint="0.39997558519241921"/>
        <bgColor indexed="64"/>
      </patternFill>
    </fill>
    <fill>
      <patternFill patternType="solid">
        <fgColor theme="2" tint="0.79998168889431442"/>
        <bgColor indexed="64"/>
      </patternFill>
    </fill>
    <fill>
      <patternFill patternType="solid">
        <fgColor theme="3"/>
        <bgColor indexed="64"/>
      </patternFill>
    </fill>
  </fills>
  <borders count="4">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s>
  <cellStyleXfs count="12">
    <xf numFmtId="0" fontId="0" fillId="0" borderId="0"/>
    <xf numFmtId="43" fontId="2" fillId="0" borderId="0" applyFont="0" applyFill="0" applyBorder="0" applyAlignment="0" applyProtection="0"/>
    <xf numFmtId="0" fontId="2" fillId="0" borderId="0"/>
    <xf numFmtId="0" fontId="11" fillId="0" borderId="0" applyNumberFormat="0" applyFill="0" applyBorder="0" applyAlignment="0" applyProtection="0"/>
    <xf numFmtId="0" fontId="12" fillId="0" borderId="0" applyNumberFormat="0" applyFill="0" applyBorder="0" applyAlignment="0" applyProtection="0"/>
    <xf numFmtId="43" fontId="1" fillId="0" borderId="0" applyFont="0" applyFill="0" applyBorder="0" applyAlignment="0" applyProtection="0"/>
    <xf numFmtId="0" fontId="1" fillId="0" borderId="0"/>
    <xf numFmtId="9" fontId="1" fillId="0" borderId="0" applyFont="0" applyFill="0" applyBorder="0" applyAlignment="0" applyProtection="0"/>
    <xf numFmtId="0" fontId="25" fillId="0" borderId="0" applyFill="0" applyBorder="0" applyProtection="0">
      <protection locked="0"/>
    </xf>
    <xf numFmtId="0" fontId="27" fillId="0" borderId="0"/>
    <xf numFmtId="169" fontId="30" fillId="0" borderId="0" applyFont="0" applyFill="0" applyBorder="0" applyAlignment="0" applyProtection="0">
      <alignment horizontal="right"/>
    </xf>
    <xf numFmtId="0" fontId="35" fillId="0" borderId="0" applyNumberFormat="0" applyFill="0" applyBorder="0" applyAlignment="0" applyProtection="0"/>
  </cellStyleXfs>
  <cellXfs count="91">
    <xf numFmtId="0" fontId="0" fillId="0" borderId="0" xfId="0"/>
    <xf numFmtId="0" fontId="0" fillId="0" borderId="0" xfId="0" applyAlignment="1">
      <alignment vertical="center"/>
    </xf>
    <xf numFmtId="0" fontId="3" fillId="0" borderId="0" xfId="0" applyFont="1" applyAlignment="1">
      <alignment vertical="center"/>
    </xf>
    <xf numFmtId="164" fontId="5" fillId="2" borderId="0" xfId="1" applyNumberFormat="1" applyFont="1" applyFill="1"/>
    <xf numFmtId="0" fontId="6" fillId="2" borderId="0" xfId="2" applyFont="1" applyFill="1" applyAlignment="1">
      <alignment vertical="center"/>
    </xf>
    <xf numFmtId="0" fontId="7" fillId="2" borderId="0" xfId="2" applyFont="1" applyFill="1"/>
    <xf numFmtId="164" fontId="5" fillId="2" borderId="0" xfId="1" applyNumberFormat="1" applyFont="1" applyFill="1" applyAlignment="1">
      <alignment horizontal="center"/>
    </xf>
    <xf numFmtId="0" fontId="8" fillId="2" borderId="0" xfId="2" applyFont="1" applyFill="1" applyAlignment="1">
      <alignment vertical="center"/>
    </xf>
    <xf numFmtId="164" fontId="5" fillId="0" borderId="0" xfId="1" applyNumberFormat="1" applyFont="1" applyFill="1" applyAlignment="1">
      <alignment horizontal="center"/>
    </xf>
    <xf numFmtId="0" fontId="2" fillId="0" borderId="0" xfId="2"/>
    <xf numFmtId="0" fontId="9" fillId="0" borderId="0" xfId="2" applyFont="1" applyAlignment="1">
      <alignment horizontal="left"/>
    </xf>
    <xf numFmtId="0" fontId="9" fillId="3" borderId="0" xfId="2" applyFont="1" applyFill="1"/>
    <xf numFmtId="0" fontId="9" fillId="4" borderId="0" xfId="2" applyFont="1" applyFill="1"/>
    <xf numFmtId="0" fontId="9" fillId="0" borderId="0" xfId="2" applyFont="1"/>
    <xf numFmtId="0" fontId="9" fillId="5" borderId="0" xfId="2" applyFont="1" applyFill="1"/>
    <xf numFmtId="0" fontId="9" fillId="6" borderId="0" xfId="2" applyFont="1" applyFill="1" applyAlignment="1">
      <alignment vertical="top" wrapText="1"/>
    </xf>
    <xf numFmtId="0" fontId="9" fillId="0" borderId="0" xfId="2" applyFont="1" applyAlignment="1">
      <alignment vertical="top"/>
    </xf>
    <xf numFmtId="0" fontId="10" fillId="4" borderId="0" xfId="2" applyFont="1" applyFill="1"/>
    <xf numFmtId="164" fontId="14" fillId="2" borderId="0" xfId="5" applyNumberFormat="1" applyFont="1" applyFill="1"/>
    <xf numFmtId="164" fontId="5" fillId="2" borderId="0" xfId="5" applyNumberFormat="1" applyFont="1" applyFill="1"/>
    <xf numFmtId="164" fontId="5" fillId="2" borderId="0" xfId="5" applyNumberFormat="1" applyFont="1" applyFill="1" applyAlignment="1">
      <alignment horizontal="center"/>
    </xf>
    <xf numFmtId="164" fontId="5" fillId="4" borderId="0" xfId="5" applyNumberFormat="1" applyFont="1" applyFill="1" applyAlignment="1">
      <alignment horizontal="center"/>
    </xf>
    <xf numFmtId="164" fontId="15" fillId="0" borderId="0" xfId="5" applyNumberFormat="1" applyFont="1"/>
    <xf numFmtId="0" fontId="6" fillId="2" borderId="0" xfId="6" applyFont="1" applyFill="1" applyAlignment="1">
      <alignment vertical="center"/>
    </xf>
    <xf numFmtId="0" fontId="7" fillId="2" borderId="0" xfId="6" applyFont="1" applyFill="1"/>
    <xf numFmtId="0" fontId="8" fillId="2" borderId="0" xfId="6" applyFont="1" applyFill="1" applyAlignment="1">
      <alignment vertical="center"/>
    </xf>
    <xf numFmtId="164" fontId="16" fillId="0" borderId="0" xfId="5" applyNumberFormat="1" applyFont="1"/>
    <xf numFmtId="164" fontId="17" fillId="0" borderId="0" xfId="5" applyNumberFormat="1" applyFont="1"/>
    <xf numFmtId="164" fontId="16" fillId="0" borderId="0" xfId="5" applyNumberFormat="1" applyFont="1" applyAlignment="1">
      <alignment horizontal="center"/>
    </xf>
    <xf numFmtId="164" fontId="18" fillId="0" borderId="0" xfId="5" applyNumberFormat="1" applyFont="1"/>
    <xf numFmtId="164" fontId="16" fillId="4" borderId="0" xfId="5" applyNumberFormat="1" applyFont="1" applyFill="1"/>
    <xf numFmtId="164" fontId="19" fillId="7" borderId="0" xfId="5" applyNumberFormat="1" applyFont="1" applyFill="1" applyBorder="1"/>
    <xf numFmtId="164" fontId="18" fillId="7" borderId="0" xfId="5" applyNumberFormat="1" applyFont="1" applyFill="1" applyBorder="1"/>
    <xf numFmtId="164" fontId="20" fillId="0" borderId="0" xfId="5" applyNumberFormat="1" applyFont="1" applyBorder="1"/>
    <xf numFmtId="164" fontId="18" fillId="0" borderId="0" xfId="5" applyNumberFormat="1" applyFont="1" applyBorder="1"/>
    <xf numFmtId="9" fontId="18" fillId="8" borderId="0" xfId="7" applyFont="1" applyFill="1" applyBorder="1" applyAlignment="1">
      <alignment horizontal="right"/>
    </xf>
    <xf numFmtId="164" fontId="20" fillId="0" borderId="0" xfId="5" applyNumberFormat="1" applyFont="1"/>
    <xf numFmtId="9" fontId="18" fillId="4" borderId="0" xfId="7" applyFont="1" applyFill="1" applyAlignment="1">
      <alignment horizontal="right"/>
    </xf>
    <xf numFmtId="9" fontId="18" fillId="9" borderId="0" xfId="7" applyFont="1" applyFill="1" applyAlignment="1">
      <alignment horizontal="right"/>
    </xf>
    <xf numFmtId="43" fontId="18" fillId="4" borderId="0" xfId="5" applyFont="1" applyFill="1" applyAlignment="1">
      <alignment horizontal="right"/>
    </xf>
    <xf numFmtId="166" fontId="18" fillId="5" borderId="0" xfId="5" applyNumberFormat="1" applyFont="1" applyFill="1" applyAlignment="1">
      <alignment horizontal="right"/>
    </xf>
    <xf numFmtId="14" fontId="18" fillId="0" borderId="0" xfId="5" applyNumberFormat="1" applyFont="1"/>
    <xf numFmtId="164" fontId="17" fillId="7" borderId="0" xfId="5" applyNumberFormat="1" applyFont="1" applyFill="1" applyBorder="1"/>
    <xf numFmtId="164" fontId="16" fillId="7" borderId="0" xfId="5" applyNumberFormat="1" applyFont="1" applyFill="1" applyBorder="1"/>
    <xf numFmtId="164" fontId="17" fillId="7" borderId="0" xfId="5" applyNumberFormat="1" applyFont="1" applyFill="1" applyBorder="1" applyAlignment="1">
      <alignment horizontal="right"/>
    </xf>
    <xf numFmtId="0" fontId="17" fillId="7" borderId="0" xfId="5" applyNumberFormat="1" applyFont="1" applyFill="1" applyBorder="1"/>
    <xf numFmtId="164" fontId="16" fillId="0" borderId="0" xfId="5" applyNumberFormat="1" applyFont="1" applyBorder="1"/>
    <xf numFmtId="14" fontId="21" fillId="0" borderId="0" xfId="5" applyNumberFormat="1" applyFont="1" applyBorder="1"/>
    <xf numFmtId="14" fontId="21" fillId="0" borderId="0" xfId="5" applyNumberFormat="1" applyFont="1" applyFill="1" applyBorder="1"/>
    <xf numFmtId="14" fontId="22" fillId="0" borderId="0" xfId="5" applyNumberFormat="1" applyFont="1" applyBorder="1"/>
    <xf numFmtId="164" fontId="21" fillId="0" borderId="0" xfId="5" applyNumberFormat="1" applyFont="1" applyBorder="1"/>
    <xf numFmtId="1" fontId="21" fillId="0" borderId="0" xfId="5" applyNumberFormat="1" applyFont="1"/>
    <xf numFmtId="164" fontId="21" fillId="0" borderId="0" xfId="5" applyNumberFormat="1" applyFont="1"/>
    <xf numFmtId="43" fontId="21" fillId="0" borderId="0" xfId="5" applyFont="1" applyBorder="1"/>
    <xf numFmtId="164" fontId="18" fillId="8" borderId="0" xfId="5" applyNumberFormat="1" applyFont="1" applyFill="1" applyBorder="1"/>
    <xf numFmtId="167" fontId="16" fillId="0" borderId="0" xfId="5" applyNumberFormat="1" applyFont="1"/>
    <xf numFmtId="167" fontId="18" fillId="8" borderId="0" xfId="5" applyNumberFormat="1" applyFont="1" applyFill="1"/>
    <xf numFmtId="164" fontId="18" fillId="8" borderId="0" xfId="5" applyNumberFormat="1" applyFont="1" applyFill="1"/>
    <xf numFmtId="164" fontId="16" fillId="0" borderId="2" xfId="5" applyNumberFormat="1" applyFont="1" applyBorder="1"/>
    <xf numFmtId="164" fontId="16" fillId="0" borderId="0" xfId="5" applyNumberFormat="1" applyFont="1" applyFill="1"/>
    <xf numFmtId="9" fontId="16" fillId="0" borderId="0" xfId="7" applyFont="1" applyBorder="1"/>
    <xf numFmtId="9" fontId="16" fillId="0" borderId="0" xfId="7" applyFont="1"/>
    <xf numFmtId="164" fontId="23" fillId="0" borderId="0" xfId="5" applyNumberFormat="1" applyFont="1"/>
    <xf numFmtId="168" fontId="23" fillId="0" borderId="0" xfId="5" applyNumberFormat="1" applyFont="1"/>
    <xf numFmtId="168" fontId="16" fillId="0" borderId="0" xfId="5" applyNumberFormat="1" applyFont="1"/>
    <xf numFmtId="164" fontId="15" fillId="0" borderId="0" xfId="5" applyNumberFormat="1" applyFont="1" applyAlignment="1">
      <alignment horizontal="center"/>
    </xf>
    <xf numFmtId="0" fontId="24" fillId="0" borderId="0" xfId="6" applyFont="1" applyAlignment="1">
      <alignment horizontal="right"/>
    </xf>
    <xf numFmtId="0" fontId="13" fillId="0" borderId="0" xfId="6" applyFont="1"/>
    <xf numFmtId="164" fontId="16" fillId="0" borderId="0" xfId="5" applyNumberFormat="1" applyFont="1" applyAlignment="1">
      <alignment horizontal="left" indent="5"/>
    </xf>
    <xf numFmtId="0" fontId="13" fillId="0" borderId="0" xfId="6" applyFont="1" applyAlignment="1">
      <alignment horizontal="right"/>
    </xf>
    <xf numFmtId="0" fontId="11" fillId="0" borderId="0" xfId="3" applyAlignment="1">
      <alignment horizontal="right"/>
    </xf>
    <xf numFmtId="0" fontId="1" fillId="0" borderId="0" xfId="6"/>
    <xf numFmtId="0" fontId="28" fillId="0" borderId="0" xfId="9" applyFont="1"/>
    <xf numFmtId="0" fontId="25" fillId="0" borderId="0" xfId="8" applyProtection="1"/>
    <xf numFmtId="0" fontId="29" fillId="0" borderId="0" xfId="9" applyFont="1"/>
    <xf numFmtId="170" fontId="31" fillId="5" borderId="0" xfId="10" applyNumberFormat="1" applyFont="1" applyFill="1" applyBorder="1" applyAlignment="1">
      <alignment horizontal="right" vertical="distributed"/>
    </xf>
    <xf numFmtId="0" fontId="25" fillId="0" borderId="0" xfId="8" applyFill="1" applyBorder="1" applyAlignment="1" applyProtection="1">
      <alignment vertical="top"/>
    </xf>
    <xf numFmtId="170" fontId="25" fillId="0" borderId="0" xfId="10" applyNumberFormat="1" applyFont="1" applyBorder="1" applyAlignment="1">
      <alignment horizontal="right" vertical="distributed"/>
    </xf>
    <xf numFmtId="171" fontId="31" fillId="4" borderId="0" xfId="10" applyNumberFormat="1" applyFont="1" applyFill="1" applyBorder="1" applyAlignment="1">
      <alignment horizontal="right" vertical="distributed"/>
    </xf>
    <xf numFmtId="0" fontId="32" fillId="0" borderId="0" xfId="9" applyFont="1"/>
    <xf numFmtId="171" fontId="33" fillId="4" borderId="3" xfId="10" applyNumberFormat="1" applyFont="1" applyFill="1" applyBorder="1" applyAlignment="1">
      <alignment horizontal="right" vertical="distributed"/>
    </xf>
    <xf numFmtId="171" fontId="31" fillId="8" borderId="0" xfId="10" applyNumberFormat="1" applyFont="1" applyFill="1" applyBorder="1" applyAlignment="1">
      <alignment horizontal="right" vertical="distributed"/>
    </xf>
    <xf numFmtId="172" fontId="25" fillId="0" borderId="0" xfId="11" applyNumberFormat="1" applyFont="1" applyFill="1"/>
    <xf numFmtId="173" fontId="33" fillId="4" borderId="3" xfId="10" applyNumberFormat="1" applyFont="1" applyFill="1" applyBorder="1" applyAlignment="1">
      <alignment horizontal="right" vertical="distributed"/>
    </xf>
    <xf numFmtId="0" fontId="25" fillId="0" borderId="1" xfId="8" applyBorder="1" applyProtection="1"/>
    <xf numFmtId="0" fontId="10" fillId="4" borderId="0" xfId="2" applyFont="1" applyFill="1" applyAlignment="1">
      <alignment horizontal="left"/>
    </xf>
    <xf numFmtId="0" fontId="10" fillId="4" borderId="1" xfId="2" applyFont="1" applyFill="1" applyBorder="1"/>
    <xf numFmtId="0" fontId="26" fillId="10" borderId="0" xfId="8" applyFont="1" applyFill="1" applyAlignment="1" applyProtection="1">
      <alignment horizontal="left"/>
    </xf>
    <xf numFmtId="0" fontId="9" fillId="4" borderId="0" xfId="2" applyFont="1" applyFill="1" applyAlignment="1">
      <alignment vertical="top"/>
    </xf>
    <xf numFmtId="14" fontId="0" fillId="0" borderId="0" xfId="0" applyNumberFormat="1"/>
    <xf numFmtId="0" fontId="0" fillId="0" borderId="0" xfId="0" applyAlignment="1">
      <alignment horizontal="left" vertical="top" wrapText="1"/>
    </xf>
  </cellXfs>
  <cellStyles count="12">
    <cellStyle name="_x000a_386grabber=M" xfId="11" xr:uid="{58225B40-7079-405C-8D47-B148BCEBB480}"/>
    <cellStyle name="AFE" xfId="8" xr:uid="{079FB3BC-6CD1-45C6-8B53-3631322A0607}"/>
    <cellStyle name="Comma 2" xfId="1" xr:uid="{B8816340-06D7-4F60-91A0-394381C8B623}"/>
    <cellStyle name="Comma 3" xfId="5" xr:uid="{0807A641-6698-4D8A-96AF-E22A2A07418B}"/>
    <cellStyle name="Hyperlink" xfId="3" builtinId="8"/>
    <cellStyle name="Hyperlink 2" xfId="4" xr:uid="{AB77DA33-C897-47A2-8464-A9288B8B4719}"/>
    <cellStyle name="Normal" xfId="0" builtinId="0"/>
    <cellStyle name="Normal 2" xfId="2" xr:uid="{6493D256-4010-4668-89A2-6356DA3DD6C8}"/>
    <cellStyle name="Normal 3" xfId="6" xr:uid="{639EEA03-CB93-4666-B1C3-39E13F8FE29B}"/>
    <cellStyle name="Normal_Ch01 Pics v2.2" xfId="9" xr:uid="{07BF1338-95DF-4151-8E26-B5E228658E32}"/>
    <cellStyle name="Pctg" xfId="10" xr:uid="{68D6982D-5404-4D4C-9F0A-0B3468701865}"/>
    <cellStyle name="Percent 2" xfId="7" xr:uid="{2151B8C6-0DCF-4CD0-8927-B678FF1E51F7}"/>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BCFF-4561-8638-97C72EBD605E}"/>
            </c:ext>
          </c:extLst>
        </c:ser>
        <c:ser>
          <c:idx val="1"/>
          <c:order val="1"/>
          <c:spPr>
            <a:solidFill>
              <a:schemeClr val="accent2"/>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BCFF-4561-8638-97C72EBD605E}"/>
            </c:ext>
          </c:extLst>
        </c:ser>
        <c:ser>
          <c:idx val="2"/>
          <c:order val="2"/>
          <c:spPr>
            <a:solidFill>
              <a:schemeClr val="accent3"/>
            </a:solidFill>
            <a:ln>
              <a:noFill/>
            </a:ln>
            <a:effectLst/>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BCFF-4561-8638-97C72EBD605E}"/>
            </c:ext>
          </c:extLst>
        </c:ser>
        <c:dLbls>
          <c:showLegendKey val="0"/>
          <c:showVal val="0"/>
          <c:showCatName val="0"/>
          <c:showSerName val="0"/>
          <c:showPercent val="0"/>
          <c:showBubbleSize val="0"/>
        </c:dLbls>
        <c:gapWidth val="150"/>
        <c:overlap val="100"/>
        <c:axId val="1371712832"/>
        <c:axId val="1359190448"/>
      </c:barChart>
      <c:catAx>
        <c:axId val="1371712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9190448"/>
        <c:crosses val="autoZero"/>
        <c:auto val="1"/>
        <c:lblAlgn val="ctr"/>
        <c:lblOffset val="100"/>
        <c:noMultiLvlLbl val="0"/>
      </c:catAx>
      <c:valAx>
        <c:axId val="13591904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171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Open Sans" panose="020B0606030504020204" pitchFamily="34" charset="0"/>
                <a:ea typeface="Open Sans" panose="020B0606030504020204" pitchFamily="34" charset="0"/>
                <a:cs typeface="Open Sans" panose="020B0606030504020204" pitchFamily="34" charset="0"/>
              </a:defRPr>
            </a:pPr>
            <a:r>
              <a:rPr lang="en-US" sz="1200" b="0"/>
              <a:t>Cash Flow</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Open Sans" panose="020B0606030504020204" pitchFamily="34" charset="0"/>
              <a:ea typeface="Open Sans" panose="020B0606030504020204" pitchFamily="34" charset="0"/>
              <a:cs typeface="Open Sans" panose="020B0606030504020204" pitchFamily="34" charset="0"/>
            </a:defRPr>
          </a:pPr>
          <a:endParaRPr lang="en-US"/>
        </a:p>
      </c:txPr>
    </c:title>
    <c:autoTitleDeleted val="0"/>
    <c:plotArea>
      <c:layout/>
      <c:barChart>
        <c:barDir val="col"/>
        <c:grouping val="clustered"/>
        <c:varyColors val="0"/>
        <c:ser>
          <c:idx val="0"/>
          <c:order val="0"/>
          <c:spPr>
            <a:solidFill>
              <a:schemeClr val="bg2"/>
            </a:solidFill>
            <a:ln>
              <a:noFill/>
            </a:ln>
            <a:effectLst/>
          </c:spPr>
          <c:invertIfNegative val="0"/>
          <c:dLbls>
            <c:numFmt formatCode="&quot;$&quot;#,##0" sourceLinked="0"/>
            <c:spPr>
              <a:noFill/>
              <a:ln>
                <a:noFill/>
              </a:ln>
              <a:effectLst/>
            </c:spPr>
            <c:txPr>
              <a:bodyPr rot="0" spcFirstLastPara="1" vertOverflow="ellipsis" vert="horz" wrap="square" anchor="ctr" anchorCtr="1"/>
              <a:lstStyle/>
              <a:p>
                <a:pPr>
                  <a:defRPr sz="800" b="0" i="0" u="none" strike="noStrike" kern="1200" baseline="0">
                    <a:solidFill>
                      <a:schemeClr val="bg2"/>
                    </a:solidFill>
                    <a:latin typeface="Open Sans" panose="020B0606030504020204" pitchFamily="34" charset="0"/>
                    <a:ea typeface="Open Sans" panose="020B0606030504020204" pitchFamily="34" charset="0"/>
                    <a:cs typeface="Open Sans" panose="020B0606030504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'DCF Model'!$E$20:$I$20</c:f>
              <c:numCache>
                <c:formatCode>m/d/yyyy</c:formatCode>
                <c:ptCount val="5"/>
                <c:pt idx="0">
                  <c:v>44377</c:v>
                </c:pt>
                <c:pt idx="1">
                  <c:v>44742</c:v>
                </c:pt>
                <c:pt idx="2">
                  <c:v>45107</c:v>
                </c:pt>
                <c:pt idx="3">
                  <c:v>45473</c:v>
                </c:pt>
                <c:pt idx="4">
                  <c:v>45838</c:v>
                </c:pt>
              </c:numCache>
            </c:numRef>
          </c:cat>
          <c:val>
            <c:numRef>
              <c:f>'DCF Model'!$E$30:$I$30</c:f>
              <c:numCache>
                <c:formatCode>_-* #,##0_-;\(#,##0\)_-;_-* "-"_-;_-@_-</c:formatCode>
                <c:ptCount val="5"/>
                <c:pt idx="0">
                  <c:v>28229.810373333334</c:v>
                </c:pt>
                <c:pt idx="1">
                  <c:v>180350.449394</c:v>
                </c:pt>
                <c:pt idx="2">
                  <c:v>183898.00422632002</c:v>
                </c:pt>
                <c:pt idx="3">
                  <c:v>185765.81880264118</c:v>
                </c:pt>
                <c:pt idx="4">
                  <c:v>189046.10069614343</c:v>
                </c:pt>
              </c:numCache>
            </c:numRef>
          </c:val>
          <c:extLst>
            <c:ext xmlns:c16="http://schemas.microsoft.com/office/drawing/2014/chart" uri="{C3380CC4-5D6E-409C-BE32-E72D297353CC}">
              <c16:uniqueId val="{00000000-E64D-48E6-A07F-4C36DC53F969}"/>
            </c:ext>
          </c:extLst>
        </c:ser>
        <c:dLbls>
          <c:showLegendKey val="0"/>
          <c:showVal val="0"/>
          <c:showCatName val="0"/>
          <c:showSerName val="0"/>
          <c:showPercent val="0"/>
          <c:showBubbleSize val="0"/>
        </c:dLbls>
        <c:gapWidth val="50"/>
        <c:overlap val="-27"/>
        <c:axId val="542849320"/>
        <c:axId val="542849648"/>
      </c:barChart>
      <c:dateAx>
        <c:axId val="542849320"/>
        <c:scaling>
          <c:orientation val="minMax"/>
        </c:scaling>
        <c:delete val="0"/>
        <c:axPos val="b"/>
        <c:numFmt formatCode="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542849648"/>
        <c:crosses val="autoZero"/>
        <c:auto val="1"/>
        <c:lblOffset val="100"/>
        <c:baseTimeUnit val="years"/>
        <c:majorUnit val="1"/>
        <c:majorTimeUnit val="years"/>
        <c:minorUnit val="1"/>
        <c:minorTimeUnit val="years"/>
      </c:dateAx>
      <c:valAx>
        <c:axId val="542849648"/>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anose="020B0606030504020204" pitchFamily="34" charset="0"/>
                <a:ea typeface="Open Sans" panose="020B0606030504020204" pitchFamily="34" charset="0"/>
                <a:cs typeface="Open Sans" panose="020B0606030504020204" pitchFamily="34" charset="0"/>
              </a:defRPr>
            </a:pPr>
            <a:endParaRPr lang="en-US"/>
          </a:p>
        </c:txPr>
        <c:crossAx val="5428493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latin typeface="Open Sans" panose="020B0606030504020204" pitchFamily="34" charset="0"/>
          <a:ea typeface="Open Sans" panose="020B0606030504020204" pitchFamily="34" charset="0"/>
          <a:cs typeface="Open Sans" panose="020B0606030504020204" pitchFamily="34" charset="0"/>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latin typeface="Open Sans" panose="020B0606030504020204" pitchFamily="34" charset="0"/>
                <a:ea typeface="Open Sans" panose="020B0606030504020204" pitchFamily="34" charset="0"/>
                <a:cs typeface="Open Sans" panose="020B0606030504020204" pitchFamily="34" charset="0"/>
              </a:defRPr>
            </a:pPr>
            <a:r>
              <a:rPr lang="en-US" sz="1200" b="0" i="0" u="none" strike="noStrike" baseline="0">
                <a:solidFill>
                  <a:sysClr val="windowText" lastClr="000000">
                    <a:lumMod val="65000"/>
                    <a:lumOff val="35000"/>
                  </a:sysClr>
                </a:solidFill>
                <a:latin typeface="Open Sans" panose="020B0606030504020204" pitchFamily="34" charset="0"/>
                <a:ea typeface="Open Sans" panose="020B0606030504020204" pitchFamily="34" charset="0"/>
                <a:cs typeface="Open Sans" panose="020B0606030504020204" pitchFamily="34" charset="0"/>
              </a:rPr>
              <a:t>Market Value vs Intrinsic Value</a:t>
            </a:r>
            <a:endParaRPr lang="en-US" sz="1400" b="0" i="0" u="none" strike="noStrike" baseline="0">
              <a:solidFill>
                <a:sysClr val="windowText" lastClr="000000">
                  <a:lumMod val="65000"/>
                  <a:lumOff val="35000"/>
                </a:sysClr>
              </a:solidFill>
              <a:latin typeface="Open Sans" panose="020B0606030504020204" pitchFamily="34" charset="0"/>
              <a:ea typeface="Open Sans" panose="020B0606030504020204" pitchFamily="34" charset="0"/>
              <a:cs typeface="Open Sans" panose="020B0606030504020204" pitchFamily="34" charset="0"/>
            </a:endParaRPr>
          </a:p>
        </cx:rich>
      </cx:tx>
    </cx:title>
    <cx:plotArea>
      <cx:plotAreaRegion>
        <cx:plotSurface>
          <cx:spPr>
            <a:noFill/>
            <a:ln>
              <a:noFill/>
            </a:ln>
          </cx:spPr>
        </cx:plotSurface>
        <cx:series layoutId="waterfall" uniqueId="{8DE9D384-90CA-46AD-9838-15A56339DF8B}" formatIdx="1">
          <cx:spPr>
            <a:solidFill>
              <a:schemeClr val="bg2"/>
            </a:solidFill>
          </cx:spPr>
          <cx:dataPt idx="0">
            <cx:spPr>
              <a:solidFill>
                <a:srgbClr val="132E57"/>
              </a:solidFill>
            </cx:spPr>
          </cx:dataPt>
          <cx:dataPt idx="1">
            <cx:spPr>
              <a:solidFill>
                <a:srgbClr val="1E8496"/>
              </a:solidFill>
            </cx:spPr>
          </cx:dataPt>
          <cx:dataPt idx="2">
            <cx:spPr>
              <a:solidFill>
                <a:srgbClr val="ED942D"/>
              </a:solidFill>
            </cx:spPr>
          </cx:dataPt>
          <cx:dataLabels pos="outEnd">
            <cx:numFmt formatCode="$#,##0.00" sourceLinked="0"/>
            <cx:txPr>
              <a:bodyPr spcFirstLastPara="1" vertOverflow="ellipsis" horzOverflow="overflow" wrap="square" lIns="0" tIns="0" rIns="0" bIns="0" anchor="ctr" anchorCtr="1"/>
              <a:lstStyle/>
              <a:p>
                <a:pPr algn="ctr" rtl="0">
                  <a:defRPr>
                    <a:solidFill>
                      <a:schemeClr val="bg2"/>
                    </a:solidFill>
                  </a:defRPr>
                </a:pPr>
                <a:endParaRPr lang="en-US" sz="900" b="0" i="0" u="none" strike="noStrike" baseline="0">
                  <a:solidFill>
                    <a:schemeClr val="bg2"/>
                  </a:solidFill>
                  <a:latin typeface="Calibri" panose="020F0502020204030204"/>
                </a:endParaRPr>
              </a:p>
            </cx:txPr>
            <cx:visibility seriesName="0" categoryName="0" value="1"/>
            <cx:separator>, </cx:separator>
          </cx:dataLabels>
          <cx:dataId val="0"/>
          <cx:layoutPr>
            <cx:subtotals>
              <cx:idx val="2"/>
            </cx:subtotals>
          </cx:layoutPr>
        </cx:series>
      </cx:plotAreaRegion>
      <cx:axis id="0">
        <cx:catScaling gapWidth="0.5"/>
        <cx:tickLabels/>
      </cx:axis>
      <cx:axis id="1">
        <cx:valScaling/>
        <cx:tickLabels/>
        <cx:numFmt formatCode="$#,##0.00" sourceLinked="0"/>
        <cx:txPr>
          <a:bodyPr spcFirstLastPara="1" vertOverflow="ellipsis" horzOverflow="overflow" wrap="square" lIns="0" tIns="0" rIns="0" bIns="0" anchor="ctr" anchorCtr="1"/>
          <a:lstStyle/>
          <a:p>
            <a:pPr algn="ctr" rtl="0">
              <a:defRPr sz="800">
                <a:latin typeface="Open Sans" panose="020B0606030504020204" pitchFamily="34" charset="0"/>
                <a:ea typeface="Open Sans" panose="020B0606030504020204" pitchFamily="34" charset="0"/>
                <a:cs typeface="Open Sans" panose="020B0606030504020204" pitchFamily="34" charset="0"/>
              </a:defRPr>
            </a:pPr>
            <a:endParaRPr lang="en-US" sz="800" b="0" i="0" u="none" strike="noStrike" baseline="0">
              <a:solidFill>
                <a:sysClr val="windowText" lastClr="000000">
                  <a:lumMod val="65000"/>
                  <a:lumOff val="35000"/>
                </a:sysClr>
              </a:solidFill>
              <a:latin typeface="Open Sans" panose="020B0606030504020204" pitchFamily="34" charset="0"/>
              <a:ea typeface="Open Sans" panose="020B0606030504020204" pitchFamily="34" charset="0"/>
              <a:cs typeface="Open Sans" panose="020B0606030504020204" pitchFamily="34" charset="0"/>
            </a:endParaRPr>
          </a:p>
        </cx:txPr>
      </cx:axis>
    </cx:plotArea>
  </cx:chart>
  <cx:spPr>
    <a:noFill/>
    <a:ln>
      <a:noFill/>
    </a:ln>
  </cx:spPr>
  <cx:printSettings>
    <cx:headerFooter alignWithMargins="1" differentOddEven="0" differentFirst="0"/>
    <cx:pageMargins l="0.69999999999999996" r="0.69999999999999996" t="0.75" b="0.75" header="0.29999999999999999" footer="0.29999999999999999"/>
    <cx:pageSetup paperSize="1" firstPageNumber="1" orientation="default" blackAndWhite="0" draft="0" useFirstPageNumber="0" horizontalDpi="600" verticalDpi="600" copies="1"/>
  </cx:printSetting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0</xdr:colOff>
      <xdr:row>13</xdr:row>
      <xdr:rowOff>0</xdr:rowOff>
    </xdr:from>
    <xdr:to>
      <xdr:col>5</xdr:col>
      <xdr:colOff>668674</xdr:colOff>
      <xdr:row>24</xdr:row>
      <xdr:rowOff>183187</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0</xdr:colOff>
          <xdr:row>2</xdr:row>
          <xdr:rowOff>9525</xdr:rowOff>
        </xdr:from>
        <xdr:to>
          <xdr:col>11</xdr:col>
          <xdr:colOff>0</xdr:colOff>
          <xdr:row>2</xdr:row>
          <xdr:rowOff>228600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Run Code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156815</xdr:colOff>
      <xdr:row>3</xdr:row>
      <xdr:rowOff>59550</xdr:rowOff>
    </xdr:from>
    <xdr:to>
      <xdr:col>9</xdr:col>
      <xdr:colOff>213964</xdr:colOff>
      <xdr:row>15</xdr:row>
      <xdr:rowOff>82038</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365588</xdr:colOff>
      <xdr:row>3</xdr:row>
      <xdr:rowOff>16651</xdr:rowOff>
    </xdr:from>
    <xdr:to>
      <xdr:col>12</xdr:col>
      <xdr:colOff>889463</xdr:colOff>
      <xdr:row>15</xdr:row>
      <xdr:rowOff>92850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861638" y="711976"/>
              <a:ext cx="2952750" cy="2276474"/>
            </a:xfrm>
            <a:prstGeom prst="rect">
              <a:avLst/>
            </a:prstGeom>
            <a:solidFill>
              <a:prstClr val="white"/>
            </a:solidFill>
            <a:ln w="1">
              <a:solidFill>
                <a:prstClr val="green"/>
              </a:solidFill>
            </a:ln>
          </xdr:spPr>
          <xdr:txBody>
            <a:bodyPr vertOverflow="clip" horzOverflow="clip"/>
            <a:lstStyle/>
            <a:p>
              <a:r>
                <a:rPr lang="en-AU" sz="1100"/>
                <a:t>This chart isn't available in your version of Excel.
Editing this shape or saving this workbook into a different file format will permanently break the chart.</a:t>
              </a:r>
            </a:p>
          </xdr:txBody>
        </xdr:sp>
      </mc:Fallback>
    </mc:AlternateContent>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E3512-70BB-4F93-A9D7-20EAC16008BA}">
  <sheetPr codeName="Sheet3"/>
  <dimension ref="A1:M32"/>
  <sheetViews>
    <sheetView workbookViewId="0">
      <selection activeCell="K6" sqref="K6"/>
    </sheetView>
  </sheetViews>
  <sheetFormatPr defaultColWidth="10" defaultRowHeight="15"/>
  <cols>
    <col min="1" max="1" width="5.25" style="9" customWidth="1"/>
    <col min="2" max="2" width="10" style="9"/>
    <col min="3" max="3" width="15.625" style="9" customWidth="1"/>
    <col min="4" max="4" width="4.125" style="9" customWidth="1"/>
    <col min="5" max="7" width="10" style="9"/>
    <col min="8" max="8" width="3" style="9" customWidth="1"/>
    <col min="9" max="16384" width="10" style="9"/>
  </cols>
  <sheetData>
    <row r="1" spans="1:13" ht="23.25">
      <c r="A1" s="3"/>
      <c r="B1" s="4" t="s">
        <v>14</v>
      </c>
      <c r="C1" s="5"/>
      <c r="D1" s="5"/>
      <c r="E1" s="5"/>
      <c r="F1" s="6"/>
      <c r="G1" s="6"/>
      <c r="H1" s="3"/>
      <c r="I1" s="7"/>
      <c r="J1" s="5"/>
      <c r="K1" s="5"/>
      <c r="L1" s="5"/>
      <c r="M1" s="8"/>
    </row>
    <row r="3" spans="1:13" ht="18.95" customHeight="1">
      <c r="B3" s="10" t="s">
        <v>15</v>
      </c>
      <c r="C3" s="11" t="s">
        <v>140</v>
      </c>
      <c r="D3" s="12"/>
      <c r="E3" s="13" t="s">
        <v>16</v>
      </c>
      <c r="F3" t="s">
        <v>141</v>
      </c>
      <c r="G3" s="14"/>
      <c r="H3" s="12"/>
      <c r="I3" t="s">
        <v>142</v>
      </c>
      <c r="J3" s="12"/>
      <c r="K3" s="15" t="s">
        <v>17</v>
      </c>
    </row>
    <row r="4" spans="1:13" ht="16.5">
      <c r="B4" s="13"/>
      <c r="C4" s="13"/>
      <c r="D4" s="12"/>
      <c r="E4" s="13"/>
      <c r="F4" s="13"/>
      <c r="G4" s="12"/>
      <c r="H4" s="13"/>
      <c r="I4" s="13"/>
      <c r="J4" s="12"/>
      <c r="K4" s="16"/>
    </row>
    <row r="5" spans="1:13" ht="16.5">
      <c r="B5" s="16" t="s">
        <v>18</v>
      </c>
      <c r="C5" t="s">
        <v>143</v>
      </c>
      <c r="D5" s="88"/>
      <c r="E5" s="16" t="s">
        <v>19</v>
      </c>
      <c r="F5">
        <v>4.630000114440918</v>
      </c>
      <c r="G5" s="88"/>
      <c r="H5" s="16"/>
      <c r="I5" s="88" t="s">
        <v>20</v>
      </c>
      <c r="J5">
        <v>3.0199999000000002E-2</v>
      </c>
      <c r="K5" s="12"/>
    </row>
    <row r="6" spans="1:13" ht="16.5">
      <c r="B6" s="12"/>
      <c r="C6" s="12"/>
      <c r="D6" s="12"/>
      <c r="E6" s="12"/>
      <c r="F6" s="12"/>
      <c r="G6" s="12"/>
      <c r="H6" s="13"/>
      <c r="I6" s="12"/>
      <c r="J6" s="12"/>
      <c r="K6" s="12"/>
    </row>
    <row r="7" spans="1:13" ht="20.25">
      <c r="B7" s="17" t="str">
        <f>CONCATENATE("About ",C3)</f>
        <v>About EVN</v>
      </c>
      <c r="C7" s="17"/>
      <c r="D7" s="12"/>
      <c r="E7" s="13"/>
      <c r="F7" s="13"/>
      <c r="G7" s="13"/>
      <c r="H7" s="13"/>
      <c r="I7" s="13"/>
      <c r="J7" s="13"/>
      <c r="K7" s="13"/>
    </row>
    <row r="8" spans="1:13" ht="16.5">
      <c r="B8" s="12"/>
      <c r="C8" s="12"/>
      <c r="D8" s="12"/>
      <c r="E8" s="13"/>
      <c r="F8" s="13"/>
      <c r="G8" s="13"/>
      <c r="H8" s="13"/>
      <c r="I8" s="13"/>
      <c r="J8" s="13"/>
      <c r="K8" s="13"/>
    </row>
    <row r="9" spans="1:13" ht="98.25" customHeight="1">
      <c r="B9" s="90" t="s">
        <v>145</v>
      </c>
      <c r="C9" s="90"/>
      <c r="D9" s="90"/>
      <c r="E9" s="90"/>
      <c r="F9" s="90"/>
      <c r="G9" s="90"/>
      <c r="H9" s="90"/>
      <c r="I9" s="90"/>
      <c r="J9" s="90"/>
      <c r="K9" s="90"/>
    </row>
    <row r="10" spans="1:13" ht="16.5">
      <c r="B10" s="12"/>
      <c r="C10" s="12"/>
      <c r="D10" s="12"/>
      <c r="E10" s="12"/>
      <c r="F10" s="12"/>
      <c r="G10" s="12"/>
      <c r="H10" s="12"/>
      <c r="I10" s="12"/>
      <c r="J10" s="12"/>
      <c r="K10" s="12"/>
    </row>
    <row r="11" spans="1:13" ht="16.5">
      <c r="B11" s="12"/>
      <c r="C11" s="12"/>
      <c r="D11" s="12"/>
      <c r="E11" s="12"/>
      <c r="F11" s="12"/>
      <c r="G11" s="12"/>
      <c r="H11" s="12"/>
      <c r="I11" s="12"/>
      <c r="J11" s="12"/>
      <c r="K11" s="12"/>
    </row>
    <row r="12" spans="1:13" ht="20.25">
      <c r="B12" s="85" t="str">
        <f>CONCATENATE("Valuation of ",C3)</f>
        <v>Valuation of EVN</v>
      </c>
      <c r="C12" s="85"/>
      <c r="D12" s="12"/>
      <c r="E12" s="12"/>
      <c r="F12" s="12"/>
      <c r="G12" s="12"/>
      <c r="H12" s="17" t="str">
        <f>CONCATENATE("5 Year Historical Share Price of  ",C3)</f>
        <v>5 Year Historical Share Price of  EVN</v>
      </c>
      <c r="I12" s="12"/>
      <c r="J12" s="12"/>
      <c r="K12" s="12"/>
    </row>
    <row r="26" spans="2:6" ht="16.5">
      <c r="B26" s="12" t="s">
        <v>21</v>
      </c>
      <c r="C26" s="12"/>
      <c r="D26" s="12">
        <v>5.2</v>
      </c>
      <c r="E26" s="12">
        <v>0.01</v>
      </c>
      <c r="F26" s="12">
        <v>5.2</v>
      </c>
    </row>
    <row r="27" spans="2:6" ht="16.5">
      <c r="B27" s="12" t="s">
        <v>22</v>
      </c>
      <c r="C27" s="12"/>
      <c r="D27" s="12">
        <v>4.4000000000000004</v>
      </c>
      <c r="E27" s="12">
        <f t="shared" ref="E27:E29" si="0">F27-D27</f>
        <v>1.7999999999999998</v>
      </c>
      <c r="F27" s="12">
        <v>6.2</v>
      </c>
    </row>
    <row r="28" spans="2:6" ht="16.5">
      <c r="B28" s="12" t="s">
        <v>23</v>
      </c>
      <c r="C28" s="12"/>
      <c r="D28" s="12">
        <v>4.5999999999999996</v>
      </c>
      <c r="E28" s="12">
        <f t="shared" si="0"/>
        <v>2.6000000000000005</v>
      </c>
      <c r="F28" s="12">
        <v>7.2</v>
      </c>
    </row>
    <row r="29" spans="2:6" ht="16.5">
      <c r="B29" s="12" t="s">
        <v>24</v>
      </c>
      <c r="C29" s="12"/>
      <c r="D29" s="12">
        <v>2.2999999999999998</v>
      </c>
      <c r="E29" s="12">
        <f t="shared" si="0"/>
        <v>2.9000000000000004</v>
      </c>
      <c r="F29" s="12">
        <v>5.2</v>
      </c>
    </row>
    <row r="32" spans="2:6" ht="20.25">
      <c r="B32" s="86" t="str">
        <f>CONCATENATE(C3,"'s Historical Dividends")</f>
        <v>EVN's Historical Dividends</v>
      </c>
      <c r="C32" s="86"/>
    </row>
  </sheetData>
  <mergeCells count="3">
    <mergeCell ref="B12:C12"/>
    <mergeCell ref="B32:C32"/>
    <mergeCell ref="B9:K9"/>
  </mergeCells>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3">
                <anchor moveWithCells="1" sizeWithCells="1">
                  <from>
                    <xdr:col>10</xdr:col>
                    <xdr:colOff>0</xdr:colOff>
                    <xdr:row>2</xdr:row>
                    <xdr:rowOff>9525</xdr:rowOff>
                  </from>
                  <to>
                    <xdr:col>11</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D6DC-F53F-4067-9D91-495F2C2FDD0F}">
  <sheetPr codeName="Sheet4"/>
  <dimension ref="A1:O63"/>
  <sheetViews>
    <sheetView showGridLines="0" tabSelected="1" topLeftCell="A11" zoomScale="138" zoomScaleNormal="100" workbookViewId="0">
      <selection activeCell="E23" sqref="E23"/>
    </sheetView>
  </sheetViews>
  <sheetFormatPr defaultColWidth="8" defaultRowHeight="15.75"/>
  <cols>
    <col min="1" max="1" width="3" style="22" customWidth="1"/>
    <col min="2" max="2" width="11.125" style="22" customWidth="1"/>
    <col min="3" max="3" width="6.375" style="22" customWidth="1"/>
    <col min="4" max="4" width="14.75" style="65" bestFit="1" customWidth="1"/>
    <col min="5" max="5" width="14.25" style="22" bestFit="1" customWidth="1"/>
    <col min="6" max="6" width="17.375" style="22" bestFit="1" customWidth="1"/>
    <col min="7" max="9" width="13" style="22" bestFit="1" customWidth="1"/>
    <col min="10" max="10" width="26.875" style="22" bestFit="1" customWidth="1"/>
    <col min="11" max="14" width="10.875" style="22" customWidth="1"/>
    <col min="15" max="16384" width="8" style="22"/>
  </cols>
  <sheetData>
    <row r="1" spans="1:15">
      <c r="A1" s="18"/>
      <c r="B1" s="19"/>
      <c r="C1" s="19"/>
      <c r="D1" s="20"/>
      <c r="E1" s="20"/>
      <c r="F1" s="20"/>
      <c r="G1" s="20"/>
      <c r="H1" s="18"/>
      <c r="I1" s="19"/>
      <c r="J1" s="19"/>
      <c r="K1" s="20"/>
      <c r="L1" s="20"/>
      <c r="M1" s="20"/>
      <c r="N1" s="21"/>
    </row>
    <row r="2" spans="1:15" ht="23.25">
      <c r="A2" s="19"/>
      <c r="B2" s="23" t="s">
        <v>14</v>
      </c>
      <c r="C2" s="24"/>
      <c r="D2" s="24"/>
      <c r="E2" s="24"/>
      <c r="F2" s="20"/>
      <c r="G2" s="20"/>
      <c r="H2" s="19"/>
      <c r="I2" s="25"/>
      <c r="J2" s="24"/>
      <c r="K2" s="24"/>
      <c r="L2" s="24"/>
      <c r="M2" s="20"/>
      <c r="N2" s="21"/>
    </row>
    <row r="3" spans="1:15">
      <c r="A3" s="26"/>
      <c r="B3" s="27"/>
      <c r="C3" s="26"/>
      <c r="D3" s="28"/>
      <c r="E3" s="29"/>
      <c r="F3" s="29"/>
      <c r="G3" s="29"/>
      <c r="H3" s="29"/>
      <c r="I3" s="29"/>
      <c r="J3" s="26"/>
      <c r="K3" s="26"/>
      <c r="L3" s="26"/>
      <c r="M3" s="26"/>
      <c r="N3" s="30"/>
      <c r="O3" s="26"/>
    </row>
    <row r="4" spans="1:15">
      <c r="A4" s="26"/>
      <c r="B4" s="31" t="s">
        <v>25</v>
      </c>
      <c r="C4" s="32"/>
      <c r="D4" s="32"/>
      <c r="E4" s="29"/>
      <c r="F4" s="26"/>
      <c r="G4" s="26"/>
      <c r="H4" s="26"/>
      <c r="I4" s="26"/>
      <c r="J4" s="26"/>
      <c r="K4" s="26"/>
      <c r="L4" s="26"/>
      <c r="M4" s="26"/>
      <c r="N4" s="30"/>
      <c r="O4" s="26"/>
    </row>
    <row r="5" spans="1:15">
      <c r="A5" s="26"/>
      <c r="B5" s="33" t="s">
        <v>26</v>
      </c>
      <c r="C5" s="34"/>
      <c r="D5" s="35">
        <v>0.3</v>
      </c>
      <c r="E5" s="29"/>
      <c r="F5" s="26"/>
      <c r="G5" s="26"/>
      <c r="H5" s="26"/>
      <c r="I5" s="26"/>
      <c r="J5" s="26"/>
      <c r="K5" s="26"/>
      <c r="L5" s="26"/>
      <c r="M5" s="26"/>
      <c r="N5" s="30"/>
      <c r="O5" s="26"/>
    </row>
    <row r="6" spans="1:15">
      <c r="A6" s="26"/>
      <c r="B6" s="36" t="s">
        <v>27</v>
      </c>
      <c r="C6" s="26"/>
      <c r="D6" s="37">
        <f>WACC!C19</f>
        <v>0.12273046906725871</v>
      </c>
      <c r="E6" s="26"/>
      <c r="F6" s="26"/>
      <c r="G6" s="26"/>
      <c r="H6" s="26"/>
      <c r="I6" s="26"/>
      <c r="J6" s="26"/>
      <c r="K6" s="26"/>
      <c r="L6" s="26"/>
      <c r="M6" s="26"/>
      <c r="N6" s="26"/>
      <c r="O6" s="26"/>
    </row>
    <row r="7" spans="1:15">
      <c r="A7" s="26"/>
      <c r="B7" s="26" t="s">
        <v>28</v>
      </c>
      <c r="C7" s="26"/>
      <c r="D7" s="38">
        <v>0.03</v>
      </c>
      <c r="E7" s="26"/>
      <c r="F7" s="26"/>
      <c r="G7" s="26"/>
      <c r="H7" s="26"/>
      <c r="I7" s="26"/>
      <c r="J7" s="26"/>
      <c r="K7" s="26"/>
      <c r="L7" s="26"/>
      <c r="M7" s="26"/>
      <c r="N7" s="26"/>
      <c r="O7" s="26"/>
    </row>
    <row r="8" spans="1:15">
      <c r="A8" s="26"/>
      <c r="B8" s="26" t="s">
        <v>29</v>
      </c>
      <c r="C8" s="26"/>
      <c r="D8">
        <v>-37.198</v>
      </c>
      <c r="E8" s="26"/>
      <c r="F8" s="26"/>
      <c r="G8" s="26"/>
      <c r="H8" s="26"/>
      <c r="I8" s="26"/>
      <c r="J8" s="26"/>
      <c r="K8" s="26"/>
      <c r="L8" s="26"/>
      <c r="M8" s="26"/>
      <c r="N8" s="26"/>
      <c r="O8" s="26"/>
    </row>
    <row r="9" spans="1:15">
      <c r="A9" s="26"/>
      <c r="B9" s="26" t="s">
        <v>30</v>
      </c>
      <c r="C9" s="26"/>
      <c r="D9" s="89">
        <v>44319</v>
      </c>
      <c r="E9" s="26"/>
      <c r="F9" s="26"/>
      <c r="G9" s="26"/>
      <c r="H9" s="26"/>
      <c r="I9" s="26"/>
      <c r="J9" s="26"/>
      <c r="K9" s="26"/>
      <c r="L9" s="26"/>
      <c r="M9" s="26"/>
      <c r="N9" s="26"/>
      <c r="O9" s="26"/>
    </row>
    <row r="10" spans="1:15">
      <c r="A10" s="26"/>
      <c r="B10" s="26" t="s">
        <v>31</v>
      </c>
      <c r="C10" s="26"/>
      <c r="D10" s="89">
        <v>44377</v>
      </c>
      <c r="E10" s="26"/>
      <c r="F10" s="26"/>
      <c r="G10" s="26"/>
      <c r="H10" s="26"/>
      <c r="I10" s="26"/>
      <c r="J10" s="26"/>
      <c r="K10" s="26"/>
      <c r="L10" s="26"/>
      <c r="M10" s="26"/>
      <c r="N10" s="26"/>
      <c r="O10" s="26"/>
    </row>
    <row r="11" spans="1:15">
      <c r="A11" s="26"/>
      <c r="B11" s="26" t="s">
        <v>32</v>
      </c>
      <c r="C11" s="26"/>
      <c r="D11" s="39">
        <f>Overview!F5</f>
        <v>4.630000114440918</v>
      </c>
      <c r="E11" s="26"/>
      <c r="F11" s="26"/>
      <c r="G11" s="26"/>
      <c r="H11" s="26"/>
      <c r="I11" s="26"/>
      <c r="J11" s="26"/>
      <c r="K11" s="26"/>
      <c r="L11" s="26"/>
      <c r="M11" s="26"/>
      <c r="N11" s="26"/>
      <c r="O11" s="26"/>
    </row>
    <row r="12" spans="1:15">
      <c r="A12" s="26"/>
      <c r="B12" s="26" t="s">
        <v>33</v>
      </c>
      <c r="C12" s="26"/>
      <c r="D12">
        <v>103496000</v>
      </c>
      <c r="E12" s="26"/>
      <c r="F12" s="26"/>
      <c r="G12" s="26"/>
      <c r="H12" s="26"/>
      <c r="I12" s="26"/>
      <c r="J12" s="26"/>
      <c r="K12" s="26"/>
      <c r="L12" s="26"/>
      <c r="M12" s="26"/>
      <c r="N12" s="26"/>
      <c r="O12" s="26"/>
    </row>
    <row r="13" spans="1:15">
      <c r="A13" s="26"/>
      <c r="B13" s="26" t="s">
        <v>139</v>
      </c>
      <c r="C13" s="26"/>
      <c r="D13">
        <v>2877632</v>
      </c>
      <c r="E13" s="26"/>
      <c r="F13" s="26"/>
      <c r="G13" s="26"/>
      <c r="H13" s="26"/>
      <c r="I13" s="26"/>
      <c r="J13" s="26"/>
      <c r="K13" s="26"/>
      <c r="L13" s="26"/>
      <c r="M13" s="26"/>
      <c r="N13" s="26"/>
      <c r="O13" s="26"/>
    </row>
    <row r="14" spans="1:15">
      <c r="A14" s="26"/>
      <c r="B14" s="26" t="s">
        <v>34</v>
      </c>
      <c r="C14" s="26"/>
      <c r="D14" s="40">
        <v>24392384</v>
      </c>
      <c r="E14" s="26"/>
      <c r="F14" s="26"/>
      <c r="G14" s="26"/>
      <c r="H14" s="26"/>
      <c r="I14" s="26"/>
      <c r="J14" s="26"/>
      <c r="K14" s="26"/>
      <c r="L14" s="26"/>
      <c r="M14" s="26"/>
      <c r="N14" s="26"/>
      <c r="O14" s="26"/>
    </row>
    <row r="15" spans="1:15">
      <c r="A15" s="26"/>
      <c r="B15" s="26" t="s">
        <v>35</v>
      </c>
      <c r="C15" s="26"/>
      <c r="D15">
        <v>1649187</v>
      </c>
      <c r="E15" s="26"/>
      <c r="F15" s="26"/>
      <c r="G15" s="26"/>
      <c r="H15" s="26"/>
      <c r="I15" s="26"/>
      <c r="J15" s="26"/>
      <c r="K15" s="26"/>
      <c r="L15" s="26"/>
      <c r="M15" s="26"/>
      <c r="N15" s="26"/>
      <c r="O15" s="26"/>
    </row>
    <row r="16" spans="1:15">
      <c r="A16" s="26"/>
      <c r="B16" s="26" t="s">
        <v>36</v>
      </c>
      <c r="C16" s="26"/>
      <c r="D16">
        <v>-130190</v>
      </c>
      <c r="E16" s="26"/>
      <c r="F16" s="26"/>
      <c r="G16" s="26"/>
      <c r="H16" s="26"/>
      <c r="I16" s="26"/>
      <c r="J16" s="26"/>
      <c r="K16" s="26"/>
      <c r="L16" s="26"/>
      <c r="M16" s="26"/>
      <c r="N16" s="26"/>
      <c r="O16" s="26"/>
    </row>
    <row r="17" spans="1:15">
      <c r="A17" s="26"/>
      <c r="B17" s="26" t="s">
        <v>54</v>
      </c>
      <c r="C17" s="26"/>
      <c r="D17">
        <v>124195208</v>
      </c>
      <c r="E17" s="26"/>
      <c r="F17" s="26"/>
      <c r="G17" s="26"/>
      <c r="H17" s="26"/>
      <c r="I17" s="26"/>
      <c r="J17" s="26"/>
      <c r="K17" s="26"/>
      <c r="L17" s="26"/>
      <c r="M17" s="26"/>
      <c r="N17" s="26"/>
      <c r="O17" s="26"/>
    </row>
    <row r="18" spans="1:15">
      <c r="A18" s="26"/>
      <c r="B18" s="26"/>
      <c r="C18" s="26"/>
      <c r="D18" s="41"/>
      <c r="J18" s="26"/>
      <c r="K18" s="26"/>
      <c r="L18" s="26"/>
      <c r="M18" s="26"/>
      <c r="N18" s="26"/>
      <c r="O18" s="26"/>
    </row>
    <row r="19" spans="1:15">
      <c r="A19" s="26"/>
      <c r="B19" s="42" t="s">
        <v>37</v>
      </c>
      <c r="C19" s="43"/>
      <c r="D19" s="44" t="s">
        <v>38</v>
      </c>
      <c r="E19" s="45">
        <f>YEAR(E20)</f>
        <v>2021</v>
      </c>
      <c r="F19" s="45">
        <f t="shared" ref="F19:I19" si="0">YEAR(F20)</f>
        <v>2022</v>
      </c>
      <c r="G19" s="45">
        <f t="shared" si="0"/>
        <v>2023</v>
      </c>
      <c r="H19" s="45">
        <f t="shared" si="0"/>
        <v>2024</v>
      </c>
      <c r="I19" s="45">
        <f t="shared" si="0"/>
        <v>2025</v>
      </c>
      <c r="J19" s="44" t="s">
        <v>39</v>
      </c>
      <c r="K19" s="26"/>
      <c r="O19" s="26"/>
    </row>
    <row r="20" spans="1:15">
      <c r="A20" s="26"/>
      <c r="B20" s="46" t="s">
        <v>40</v>
      </c>
      <c r="C20" s="46"/>
      <c r="D20" s="47">
        <f>D9</f>
        <v>44319</v>
      </c>
      <c r="E20" s="48">
        <f>DATE(YEAR($D$10)+E21,6,30)</f>
        <v>44377</v>
      </c>
      <c r="F20" s="48">
        <f>DATE(YEAR($D$10)+F21,6,30)</f>
        <v>44742</v>
      </c>
      <c r="G20" s="48">
        <f>DATE(YEAR($D$10)+G21,6,30)</f>
        <v>45107</v>
      </c>
      <c r="H20" s="48">
        <f>DATE(YEAR($D$10)+H21,6,30)</f>
        <v>45473</v>
      </c>
      <c r="I20" s="48">
        <f>DATE(YEAR($D$10)+I21,6,30)</f>
        <v>45838</v>
      </c>
      <c r="J20" s="49">
        <f>I20</f>
        <v>45838</v>
      </c>
      <c r="K20" s="26"/>
      <c r="O20" s="26"/>
    </row>
    <row r="21" spans="1:15">
      <c r="A21" s="26"/>
      <c r="B21" s="50" t="s">
        <v>41</v>
      </c>
      <c r="C21" s="50"/>
      <c r="D21" s="47"/>
      <c r="E21" s="51">
        <v>0</v>
      </c>
      <c r="F21" s="51">
        <f>E21+1</f>
        <v>1</v>
      </c>
      <c r="G21" s="51">
        <f>F21+1</f>
        <v>2</v>
      </c>
      <c r="H21" s="51">
        <f t="shared" ref="H21:I21" si="1">G21+1</f>
        <v>3</v>
      </c>
      <c r="I21" s="51">
        <f t="shared" si="1"/>
        <v>4</v>
      </c>
      <c r="J21" s="47"/>
      <c r="K21" s="26"/>
      <c r="O21" s="26"/>
    </row>
    <row r="22" spans="1:15">
      <c r="A22" s="26"/>
      <c r="B22" s="52" t="s">
        <v>42</v>
      </c>
      <c r="C22" s="26"/>
      <c r="D22" s="26"/>
      <c r="E22" s="53">
        <f>YEARFRAC(D20,E20)</f>
        <v>0.15833333333333333</v>
      </c>
      <c r="F22" s="53">
        <f>YEARFRAC(E20,F20)</f>
        <v>1</v>
      </c>
      <c r="G22" s="53">
        <f>YEARFRAC(F20,G20)</f>
        <v>1</v>
      </c>
      <c r="H22" s="53">
        <f>YEARFRAC(G20,H20)</f>
        <v>1</v>
      </c>
      <c r="I22" s="53">
        <f>YEARFRAC(H20,I20)</f>
        <v>1</v>
      </c>
      <c r="J22" s="26"/>
      <c r="K22" s="26"/>
      <c r="O22" s="26"/>
    </row>
    <row r="23" spans="1:15">
      <c r="A23" s="26"/>
      <c r="B23" s="26" t="s">
        <v>43</v>
      </c>
      <c r="C23" s="26"/>
      <c r="D23" s="26"/>
      <c r="E23" s="54">
        <v>47814.456000000006</v>
      </c>
      <c r="F23" s="54">
        <v>51094.853419999992</v>
      </c>
      <c r="G23" s="54">
        <v>55861.390037599995</v>
      </c>
      <c r="H23" s="54">
        <v>58692.857260915989</v>
      </c>
      <c r="I23" s="54">
        <v>63038.584948776319</v>
      </c>
      <c r="J23" s="26"/>
      <c r="K23" s="26"/>
      <c r="L23" s="26"/>
      <c r="M23" s="26"/>
      <c r="N23" s="26"/>
      <c r="O23" s="26"/>
    </row>
    <row r="24" spans="1:15">
      <c r="A24" s="26"/>
      <c r="B24" s="26" t="s">
        <v>44</v>
      </c>
      <c r="C24" s="26"/>
      <c r="D24" s="26"/>
      <c r="E24" s="55">
        <f>E23*$D$5</f>
        <v>14344.336800000001</v>
      </c>
      <c r="F24" s="55">
        <f>F23*$D$5</f>
        <v>15328.456025999996</v>
      </c>
      <c r="G24" s="55">
        <f>G23*$D$5</f>
        <v>16758.417011279998</v>
      </c>
      <c r="H24" s="55">
        <f>H23*$D$5</f>
        <v>17607.857178274797</v>
      </c>
      <c r="I24" s="55">
        <f>I23*$D$5</f>
        <v>18911.575484632896</v>
      </c>
      <c r="J24" s="26"/>
      <c r="K24" s="26"/>
      <c r="L24" s="26"/>
      <c r="M24" s="26"/>
      <c r="N24" s="26"/>
      <c r="O24" s="26"/>
    </row>
    <row r="25" spans="1:15">
      <c r="A25" s="26"/>
      <c r="B25" s="26" t="s">
        <v>45</v>
      </c>
      <c r="C25" s="26"/>
      <c r="D25" s="26"/>
      <c r="E25" s="56">
        <v>15008.420000000002</v>
      </c>
      <c r="F25" s="56">
        <v>15005.052000000003</v>
      </c>
      <c r="G25" s="56">
        <v>15003.031200000001</v>
      </c>
      <c r="H25" s="56">
        <v>15001.818719999999</v>
      </c>
      <c r="I25" s="56">
        <v>15001.091232000001</v>
      </c>
      <c r="J25" s="26"/>
      <c r="K25" s="26"/>
      <c r="L25" s="26"/>
      <c r="M25" s="26"/>
      <c r="N25" s="26"/>
      <c r="O25" s="26"/>
    </row>
    <row r="26" spans="1:15">
      <c r="A26" s="26"/>
      <c r="B26" s="26" t="s">
        <v>46</v>
      </c>
      <c r="C26" s="26"/>
      <c r="D26" s="26"/>
      <c r="E26" s="36">
        <f>$D$16</f>
        <v>-130190</v>
      </c>
      <c r="F26" s="36">
        <f t="shared" ref="F26:I26" si="2">$D$16</f>
        <v>-130190</v>
      </c>
      <c r="G26" s="36">
        <f t="shared" si="2"/>
        <v>-130190</v>
      </c>
      <c r="H26" s="36">
        <f t="shared" si="2"/>
        <v>-130190</v>
      </c>
      <c r="I26" s="36">
        <f t="shared" si="2"/>
        <v>-130190</v>
      </c>
      <c r="J26" s="26"/>
      <c r="K26" s="26"/>
      <c r="L26" s="26"/>
      <c r="M26" s="26"/>
      <c r="N26" s="26"/>
      <c r="O26" s="26"/>
    </row>
    <row r="27" spans="1:15">
      <c r="A27" s="26"/>
      <c r="B27" s="26" t="s">
        <v>47</v>
      </c>
      <c r="C27" s="26"/>
      <c r="D27" s="26"/>
      <c r="E27" s="57">
        <v>375</v>
      </c>
      <c r="F27" s="57">
        <v>611</v>
      </c>
      <c r="G27" s="57">
        <v>398</v>
      </c>
      <c r="H27" s="57">
        <v>511</v>
      </c>
      <c r="I27" s="57">
        <v>272</v>
      </c>
      <c r="J27" s="26"/>
      <c r="K27" s="26"/>
      <c r="L27" s="26"/>
      <c r="M27" s="26"/>
      <c r="N27" s="26"/>
      <c r="O27" s="26"/>
    </row>
    <row r="28" spans="1:15">
      <c r="A28" s="26"/>
      <c r="B28" s="26" t="s">
        <v>48</v>
      </c>
      <c r="C28" s="26"/>
      <c r="D28" s="26"/>
      <c r="E28" s="58">
        <f>E23-E24+E25-E26-E27</f>
        <v>178293.5392</v>
      </c>
      <c r="F28" s="58">
        <f>F23-F24+F25-F26-F27</f>
        <v>180350.449394</v>
      </c>
      <c r="G28" s="58">
        <f>G23-G24+G25-G26-G27</f>
        <v>183898.00422632002</v>
      </c>
      <c r="H28" s="58">
        <f>H23-H24+H25-H26-H27</f>
        <v>185765.81880264118</v>
      </c>
      <c r="I28" s="58">
        <f>I23-I24+I25-I26-I27</f>
        <v>189046.10069614343</v>
      </c>
      <c r="J28" s="26"/>
      <c r="K28" s="26"/>
      <c r="L28" s="26"/>
      <c r="M28" s="26"/>
      <c r="N28" s="26"/>
      <c r="O28" s="26"/>
    </row>
    <row r="29" spans="1:15">
      <c r="A29" s="26"/>
      <c r="B29" s="26" t="s">
        <v>49</v>
      </c>
      <c r="C29" s="26"/>
      <c r="D29" s="30">
        <f>-H37</f>
        <v>-501929688.84417725</v>
      </c>
      <c r="E29" s="26"/>
      <c r="F29" s="26"/>
      <c r="G29" s="26"/>
      <c r="H29" s="26"/>
      <c r="I29" s="26"/>
      <c r="J29" s="59">
        <f>D43</f>
        <v>-401548.91194788599</v>
      </c>
      <c r="K29" s="26"/>
      <c r="L29" s="26"/>
      <c r="M29" s="26"/>
      <c r="N29" s="26"/>
      <c r="O29" s="26"/>
    </row>
    <row r="30" spans="1:15">
      <c r="A30" s="26"/>
      <c r="B30" s="26" t="s">
        <v>50</v>
      </c>
      <c r="C30" s="26"/>
      <c r="D30" s="58">
        <v>0</v>
      </c>
      <c r="E30" s="58">
        <f>(E29+E28)*E22</f>
        <v>28229.810373333334</v>
      </c>
      <c r="F30" s="58">
        <f t="shared" ref="F30:I30" si="3">(F29+F28)*F22</f>
        <v>180350.449394</v>
      </c>
      <c r="G30" s="58">
        <f t="shared" si="3"/>
        <v>183898.00422632002</v>
      </c>
      <c r="H30" s="58">
        <f t="shared" si="3"/>
        <v>185765.81880264118</v>
      </c>
      <c r="I30" s="58">
        <f t="shared" si="3"/>
        <v>189046.10069614343</v>
      </c>
      <c r="J30" s="58">
        <f t="shared" ref="J30" si="4">J29+J28</f>
        <v>-401548.91194788599</v>
      </c>
      <c r="K30" s="26"/>
      <c r="L30" s="26"/>
      <c r="M30" s="26"/>
      <c r="N30" s="26"/>
      <c r="O30" s="26"/>
    </row>
    <row r="31" spans="1:15">
      <c r="A31" s="26"/>
      <c r="B31" s="26" t="s">
        <v>50</v>
      </c>
      <c r="C31" s="26"/>
      <c r="D31" s="46">
        <f>D29+D28</f>
        <v>-501929688.84417725</v>
      </c>
      <c r="E31" s="46">
        <f>(E29+E28)*E22</f>
        <v>28229.810373333334</v>
      </c>
      <c r="F31" s="46">
        <f t="shared" ref="F31:I31" si="5">(F29+F28)*F22</f>
        <v>180350.449394</v>
      </c>
      <c r="G31" s="46">
        <f t="shared" si="5"/>
        <v>183898.00422632002</v>
      </c>
      <c r="H31" s="46">
        <f t="shared" si="5"/>
        <v>185765.81880264118</v>
      </c>
      <c r="I31" s="46">
        <f t="shared" si="5"/>
        <v>189046.10069614343</v>
      </c>
      <c r="J31" s="46">
        <f>J29</f>
        <v>-401548.91194788599</v>
      </c>
      <c r="K31" s="26"/>
      <c r="L31" s="26"/>
      <c r="M31" s="26"/>
      <c r="N31" s="26"/>
      <c r="O31" s="26"/>
    </row>
    <row r="32" spans="1:15">
      <c r="A32" s="26"/>
      <c r="B32" s="26"/>
      <c r="C32" s="26"/>
      <c r="D32" s="28"/>
      <c r="E32" s="26"/>
      <c r="G32" s="26"/>
      <c r="H32" s="26"/>
      <c r="I32" s="26"/>
      <c r="J32" s="26"/>
      <c r="L32" s="26"/>
      <c r="M32" s="26"/>
      <c r="N32" s="26"/>
      <c r="O32" s="26"/>
    </row>
    <row r="33" spans="1:15">
      <c r="A33" s="26"/>
      <c r="B33" s="42" t="s">
        <v>51</v>
      </c>
      <c r="C33" s="43"/>
      <c r="D33" s="43"/>
      <c r="E33" s="26"/>
      <c r="F33" s="42" t="s">
        <v>21</v>
      </c>
      <c r="G33" s="43"/>
      <c r="H33" s="43"/>
      <c r="J33" s="42" t="s">
        <v>52</v>
      </c>
      <c r="K33" s="43"/>
      <c r="L33" s="43"/>
      <c r="O33" s="26"/>
    </row>
    <row r="34" spans="1:15">
      <c r="A34" s="26"/>
      <c r="B34" s="46" t="s">
        <v>53</v>
      </c>
      <c r="C34" s="46"/>
      <c r="D34" s="46">
        <f>XNPV(D6,D30:J30,D20:J20)</f>
        <v>326221.51404592372</v>
      </c>
      <c r="E34" s="26"/>
      <c r="F34" s="46" t="s">
        <v>54</v>
      </c>
      <c r="G34" s="46"/>
      <c r="H34" s="46">
        <f>D12*D11</f>
        <v>479186491.84417725</v>
      </c>
      <c r="J34" s="46" t="s">
        <v>55</v>
      </c>
      <c r="K34" s="46"/>
      <c r="L34" s="60">
        <f>D38/H38-1</f>
        <v>-1.0467813176445793</v>
      </c>
      <c r="O34" s="26"/>
    </row>
    <row r="35" spans="1:15">
      <c r="A35" s="26"/>
      <c r="B35" s="26" t="s">
        <v>56</v>
      </c>
      <c r="C35" s="26"/>
      <c r="D35" s="26">
        <f>+D15</f>
        <v>1649187</v>
      </c>
      <c r="E35" s="26"/>
      <c r="F35" s="26" t="s">
        <v>57</v>
      </c>
      <c r="G35" s="26"/>
      <c r="H35" s="26">
        <f>D14</f>
        <v>24392384</v>
      </c>
      <c r="J35" s="26" t="s">
        <v>58</v>
      </c>
      <c r="K35" s="26"/>
      <c r="L35" s="61" t="e">
        <f>XIRR(D31:J31,D20:J20)</f>
        <v>#NUM!</v>
      </c>
      <c r="O35" s="26"/>
    </row>
    <row r="36" spans="1:15">
      <c r="A36" s="26"/>
      <c r="B36" s="26" t="s">
        <v>59</v>
      </c>
      <c r="C36" s="26"/>
      <c r="D36" s="26">
        <f>+D14</f>
        <v>24392384</v>
      </c>
      <c r="E36" s="26"/>
      <c r="F36" s="26" t="s">
        <v>60</v>
      </c>
      <c r="G36" s="26"/>
      <c r="H36" s="26">
        <f>+D15</f>
        <v>1649187</v>
      </c>
      <c r="J36" s="26"/>
      <c r="K36" s="26"/>
      <c r="L36" s="26"/>
      <c r="O36" s="26"/>
    </row>
    <row r="37" spans="1:15">
      <c r="A37" s="26"/>
      <c r="B37" s="26" t="s">
        <v>61</v>
      </c>
      <c r="C37" s="26"/>
      <c r="D37" s="58">
        <f>D34+D35-D36</f>
        <v>-22416975.485954076</v>
      </c>
      <c r="E37" s="26"/>
      <c r="F37" s="26" t="s">
        <v>53</v>
      </c>
      <c r="G37" s="26"/>
      <c r="H37" s="58">
        <f>H34+H35-H36</f>
        <v>501929688.84417725</v>
      </c>
      <c r="J37" s="42" t="s">
        <v>62</v>
      </c>
      <c r="K37" s="43"/>
      <c r="L37" s="43"/>
      <c r="O37" s="26"/>
    </row>
    <row r="38" spans="1:15">
      <c r="A38" s="26"/>
      <c r="B38" s="62" t="s">
        <v>63</v>
      </c>
      <c r="C38" s="62"/>
      <c r="D38" s="63">
        <f>D37/D12</f>
        <v>-0.21659750604809921</v>
      </c>
      <c r="E38" s="26"/>
      <c r="F38" s="62" t="s">
        <v>63</v>
      </c>
      <c r="G38" s="62"/>
      <c r="H38" s="63">
        <f>D11</f>
        <v>4.630000114440918</v>
      </c>
      <c r="J38" s="26" t="s">
        <v>21</v>
      </c>
      <c r="K38" s="26"/>
      <c r="L38" s="64">
        <f>H38</f>
        <v>4.630000114440918</v>
      </c>
      <c r="O38" s="26"/>
    </row>
    <row r="39" spans="1:15">
      <c r="A39" s="26"/>
      <c r="E39" s="26"/>
      <c r="J39" s="26" t="s">
        <v>64</v>
      </c>
      <c r="K39" s="26"/>
      <c r="L39" s="64">
        <f>D38-H38</f>
        <v>-4.8465976204890175</v>
      </c>
      <c r="O39" s="26"/>
    </row>
    <row r="40" spans="1:15">
      <c r="A40" s="26"/>
      <c r="B40" s="42" t="s">
        <v>65</v>
      </c>
      <c r="C40" s="43"/>
      <c r="D40" s="43"/>
      <c r="E40" s="26"/>
      <c r="G40" s="26"/>
      <c r="H40" s="26"/>
      <c r="I40" s="26"/>
      <c r="J40" s="26" t="s">
        <v>51</v>
      </c>
      <c r="K40" s="26"/>
      <c r="L40" s="64">
        <f>SUM(L38:L39)</f>
        <v>-0.21659750604809958</v>
      </c>
      <c r="O40" s="26"/>
    </row>
    <row r="41" spans="1:15">
      <c r="A41" s="26"/>
      <c r="B41" s="46" t="s">
        <v>66</v>
      </c>
      <c r="C41" s="46"/>
      <c r="D41" s="46">
        <f>(I28*(1+D7))/(D6-D7)</f>
        <v>2099822.0506767458</v>
      </c>
      <c r="E41" s="26"/>
      <c r="G41" s="26"/>
      <c r="H41" s="26"/>
      <c r="I41" s="27"/>
      <c r="J41" s="26"/>
      <c r="L41" s="26"/>
      <c r="M41" s="26"/>
      <c r="N41" s="26"/>
      <c r="O41" s="26"/>
    </row>
    <row r="42" spans="1:15">
      <c r="A42" s="26"/>
      <c r="B42" s="26" t="s">
        <v>67</v>
      </c>
      <c r="C42" s="26"/>
      <c r="D42" s="55">
        <f>D8*(I23+I25)</f>
        <v>-2902919.8745725178</v>
      </c>
      <c r="E42" s="26"/>
      <c r="F42" s="26"/>
      <c r="G42" s="26"/>
      <c r="H42" s="27"/>
      <c r="I42" s="26"/>
      <c r="K42" s="26"/>
      <c r="L42" s="26"/>
      <c r="M42" s="26"/>
      <c r="N42" s="26"/>
      <c r="O42" s="26"/>
    </row>
    <row r="43" spans="1:15">
      <c r="A43" s="26"/>
      <c r="B43" s="26" t="s">
        <v>68</v>
      </c>
      <c r="C43" s="26"/>
      <c r="D43" s="58">
        <f>AVERAGE(D41:D42)</f>
        <v>-401548.91194788599</v>
      </c>
      <c r="E43" s="30"/>
      <c r="F43" s="30"/>
      <c r="G43" s="30"/>
      <c r="H43" s="30"/>
      <c r="I43" s="30"/>
      <c r="J43" s="30"/>
      <c r="K43" s="30"/>
      <c r="L43" s="30"/>
      <c r="M43" s="30"/>
      <c r="N43" s="30"/>
      <c r="O43" s="30"/>
    </row>
    <row r="44" spans="1:15">
      <c r="A44" s="26"/>
      <c r="G44" s="26"/>
      <c r="H44" s="26"/>
      <c r="N44" s="66"/>
      <c r="O44" s="26"/>
    </row>
    <row r="45" spans="1:15">
      <c r="A45" s="26"/>
      <c r="G45" s="26"/>
      <c r="H45" s="26"/>
      <c r="N45" s="67"/>
      <c r="O45" s="26"/>
    </row>
    <row r="46" spans="1:15">
      <c r="A46" s="26"/>
      <c r="G46" s="26"/>
      <c r="H46" s="26"/>
      <c r="N46" s="67"/>
      <c r="O46" s="26"/>
    </row>
    <row r="47" spans="1:15">
      <c r="A47" s="26"/>
      <c r="G47" s="26"/>
      <c r="H47" s="26"/>
      <c r="N47" s="67"/>
      <c r="O47" s="26"/>
    </row>
    <row r="48" spans="1:15">
      <c r="A48" s="26"/>
      <c r="B48" s="26" t="s">
        <v>69</v>
      </c>
      <c r="C48" s="26"/>
      <c r="D48" s="28"/>
      <c r="E48" s="26"/>
      <c r="F48" s="26"/>
      <c r="G48" s="26"/>
      <c r="H48" s="26"/>
      <c r="N48" s="67"/>
      <c r="O48" s="26"/>
    </row>
    <row r="49" spans="1:15">
      <c r="A49" s="26"/>
      <c r="B49" s="26" t="s">
        <v>70</v>
      </c>
      <c r="C49" s="26"/>
      <c r="D49" s="28"/>
      <c r="E49" s="26"/>
      <c r="F49" s="26"/>
      <c r="G49" s="26"/>
      <c r="H49" s="26"/>
      <c r="N49" s="67"/>
      <c r="O49" s="26"/>
    </row>
    <row r="50" spans="1:15">
      <c r="A50" s="26"/>
      <c r="B50" s="68" t="s">
        <v>71</v>
      </c>
      <c r="C50" s="26"/>
      <c r="D50" s="28"/>
      <c r="E50" s="26"/>
      <c r="F50" s="26"/>
      <c r="G50" s="26"/>
      <c r="H50" s="26"/>
      <c r="N50" s="69"/>
      <c r="O50" s="26"/>
    </row>
    <row r="51" spans="1:15">
      <c r="A51" s="26"/>
      <c r="B51" s="68" t="s">
        <v>72</v>
      </c>
      <c r="C51" s="26"/>
      <c r="D51" s="28"/>
      <c r="E51" s="26"/>
      <c r="F51" s="26"/>
      <c r="G51" s="26"/>
      <c r="H51" s="26"/>
      <c r="N51" s="70"/>
      <c r="O51" s="26"/>
    </row>
    <row r="52" spans="1:15">
      <c r="A52" s="26"/>
      <c r="B52" s="68" t="s">
        <v>73</v>
      </c>
      <c r="C52" s="26"/>
      <c r="D52" s="28"/>
      <c r="E52" s="26"/>
      <c r="F52" s="26"/>
      <c r="G52" s="26"/>
      <c r="H52" s="26"/>
      <c r="O52" s="26"/>
    </row>
    <row r="53" spans="1:15">
      <c r="A53" s="26"/>
      <c r="B53" s="26"/>
      <c r="C53" s="26"/>
      <c r="D53" s="28"/>
      <c r="E53" s="26"/>
      <c r="F53" s="26"/>
      <c r="G53" s="26"/>
      <c r="H53" s="26"/>
      <c r="M53" s="26"/>
      <c r="O53" s="26"/>
    </row>
    <row r="54" spans="1:15">
      <c r="A54" s="26"/>
      <c r="B54" s="26"/>
      <c r="C54" s="26"/>
      <c r="D54" s="28"/>
      <c r="E54" s="26"/>
      <c r="F54" s="26"/>
      <c r="G54" s="26"/>
      <c r="H54" s="26"/>
      <c r="I54" s="26"/>
      <c r="J54" s="26"/>
      <c r="K54" s="26"/>
      <c r="L54" s="26"/>
      <c r="M54" s="26"/>
      <c r="N54" s="26"/>
      <c r="O54" s="26"/>
    </row>
    <row r="55" spans="1:15">
      <c r="A55" s="26"/>
      <c r="B55" s="26"/>
      <c r="C55" s="26"/>
      <c r="D55" s="28"/>
      <c r="E55" s="26"/>
      <c r="F55" s="26"/>
      <c r="G55" s="26"/>
      <c r="H55" s="26"/>
      <c r="I55" s="26"/>
      <c r="J55" s="26"/>
      <c r="K55" s="26"/>
      <c r="L55" s="26"/>
      <c r="M55" s="26"/>
      <c r="N55" s="26"/>
      <c r="O55" s="26"/>
    </row>
    <row r="56" spans="1:15">
      <c r="A56" s="26"/>
      <c r="B56" s="26"/>
      <c r="C56" s="26"/>
      <c r="D56" s="28"/>
      <c r="E56" s="26"/>
      <c r="F56" s="26"/>
      <c r="G56" s="26"/>
      <c r="H56" s="26"/>
      <c r="I56" s="26"/>
      <c r="J56" s="26"/>
      <c r="K56" s="26"/>
      <c r="L56" s="26"/>
      <c r="M56" s="26"/>
      <c r="N56" s="26"/>
      <c r="O56" s="26"/>
    </row>
    <row r="57" spans="1:15">
      <c r="A57" s="26"/>
      <c r="B57" s="26"/>
      <c r="C57" s="26"/>
      <c r="D57" s="28"/>
      <c r="E57" s="26"/>
      <c r="F57" s="26"/>
      <c r="G57" s="26"/>
      <c r="H57" s="26"/>
      <c r="I57" s="26"/>
      <c r="J57" s="26"/>
      <c r="K57" s="26"/>
      <c r="L57" s="26"/>
      <c r="M57" s="26"/>
      <c r="N57" s="26"/>
      <c r="O57" s="26"/>
    </row>
    <row r="58" spans="1:15">
      <c r="A58" s="26"/>
      <c r="B58" s="26"/>
      <c r="C58" s="26"/>
      <c r="D58" s="28"/>
      <c r="E58" s="26"/>
      <c r="F58" s="26"/>
      <c r="G58" s="26"/>
      <c r="H58" s="26"/>
      <c r="I58" s="26"/>
      <c r="J58" s="26"/>
      <c r="K58" s="26"/>
      <c r="L58" s="26"/>
      <c r="M58" s="26"/>
      <c r="N58" s="26"/>
      <c r="O58" s="26"/>
    </row>
    <row r="59" spans="1:15">
      <c r="A59" s="26"/>
      <c r="B59" s="26"/>
      <c r="C59" s="26"/>
      <c r="D59" s="28"/>
      <c r="E59" s="26"/>
      <c r="F59" s="26"/>
      <c r="G59" s="26"/>
      <c r="H59" s="26"/>
      <c r="I59" s="26"/>
      <c r="J59" s="26"/>
      <c r="K59" s="26"/>
      <c r="L59" s="26"/>
      <c r="M59" s="26"/>
      <c r="N59" s="26"/>
      <c r="O59" s="26"/>
    </row>
    <row r="60" spans="1:15">
      <c r="A60" s="26"/>
      <c r="B60" s="26"/>
      <c r="C60" s="26"/>
      <c r="D60" s="28"/>
      <c r="E60" s="26"/>
      <c r="F60" s="26"/>
      <c r="G60" s="26"/>
      <c r="H60" s="26"/>
      <c r="I60" s="26"/>
      <c r="J60" s="26"/>
      <c r="K60" s="26"/>
      <c r="L60" s="26"/>
      <c r="M60" s="26"/>
      <c r="N60" s="26"/>
      <c r="O60" s="26"/>
    </row>
    <row r="61" spans="1:15">
      <c r="A61" s="26"/>
      <c r="B61" s="26"/>
      <c r="C61" s="26"/>
      <c r="D61" s="28"/>
      <c r="E61" s="26"/>
      <c r="F61" s="26"/>
      <c r="G61" s="26"/>
      <c r="H61" s="26"/>
      <c r="I61" s="26"/>
      <c r="J61" s="26"/>
      <c r="K61" s="26"/>
      <c r="L61" s="26"/>
      <c r="M61" s="26"/>
      <c r="N61" s="26"/>
      <c r="O61" s="26"/>
    </row>
    <row r="62" spans="1:15">
      <c r="A62" s="26"/>
      <c r="B62" s="26"/>
      <c r="C62" s="26"/>
      <c r="D62" s="28"/>
      <c r="E62" s="26"/>
      <c r="F62" s="26"/>
      <c r="G62" s="26"/>
      <c r="H62" s="26"/>
      <c r="I62" s="26"/>
      <c r="J62" s="26"/>
      <c r="K62" s="26"/>
      <c r="L62" s="26"/>
      <c r="M62" s="26"/>
      <c r="N62" s="26"/>
      <c r="O62" s="26"/>
    </row>
    <row r="63" spans="1:15">
      <c r="B63" s="26"/>
      <c r="C63" s="26"/>
      <c r="D63" s="28"/>
      <c r="E63" s="26"/>
      <c r="F63" s="26"/>
      <c r="G63" s="26"/>
      <c r="H63" s="26"/>
      <c r="I63" s="26"/>
      <c r="J63" s="26"/>
      <c r="K63" s="26"/>
      <c r="L63" s="26"/>
    </row>
  </sheetData>
  <pageMargins left="0.70866141732283472" right="0.70866141732283472" top="0.74803149606299213" bottom="0.74803149606299213" header="0.31496062992125984" footer="0.31496062992125984"/>
  <pageSetup scale="78"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26388-0D8E-44E0-A49A-010F6B9ADC89}">
  <sheetPr codeName="Sheet5"/>
  <dimension ref="A1:D20"/>
  <sheetViews>
    <sheetView zoomScale="125" workbookViewId="0">
      <selection activeCell="D15" sqref="D15"/>
    </sheetView>
  </sheetViews>
  <sheetFormatPr defaultColWidth="10" defaultRowHeight="15"/>
  <cols>
    <col min="1" max="2" width="10" style="71"/>
    <col min="3" max="3" width="19.75" style="71" bestFit="1" customWidth="1"/>
    <col min="4" max="16384" width="10" style="71"/>
  </cols>
  <sheetData>
    <row r="1" spans="1:4" ht="16.5">
      <c r="A1" s="87" t="s">
        <v>74</v>
      </c>
      <c r="B1" s="87"/>
      <c r="C1" s="87"/>
    </row>
    <row r="2" spans="1:4">
      <c r="A2" s="72" t="s">
        <v>75</v>
      </c>
      <c r="B2" s="73"/>
      <c r="C2" s="73"/>
    </row>
    <row r="3" spans="1:4">
      <c r="A3" s="74" t="s">
        <v>76</v>
      </c>
      <c r="B3" s="74"/>
      <c r="C3" s="75">
        <f>'DCF Model'!D14/'DCF Model'!D17</f>
        <v>0.19640358426711602</v>
      </c>
      <c r="D3" s="71" t="s">
        <v>77</v>
      </c>
    </row>
    <row r="4" spans="1:4">
      <c r="A4" s="76" t="s">
        <v>78</v>
      </c>
      <c r="B4" s="73"/>
      <c r="C4" s="77">
        <f>1-C3</f>
        <v>0.80359641573288398</v>
      </c>
    </row>
    <row r="5" spans="1:4" ht="15.75">
      <c r="A5" s="76" t="s">
        <v>79</v>
      </c>
      <c r="B5" s="73"/>
      <c r="C5">
        <v>1.8382350000000001</v>
      </c>
    </row>
    <row r="6" spans="1:4">
      <c r="A6" s="73"/>
      <c r="B6" s="73"/>
      <c r="C6" s="73"/>
    </row>
    <row r="7" spans="1:4">
      <c r="A7" s="72" t="s">
        <v>80</v>
      </c>
      <c r="B7" s="74"/>
      <c r="C7" s="74"/>
    </row>
    <row r="8" spans="1:4" ht="15.75">
      <c r="A8" s="74" t="s">
        <v>80</v>
      </c>
      <c r="B8" s="74"/>
      <c r="C8">
        <v>0</v>
      </c>
      <c r="D8" s="71" t="s">
        <v>81</v>
      </c>
    </row>
    <row r="9" spans="1:4">
      <c r="A9" s="74" t="s">
        <v>26</v>
      </c>
      <c r="B9" s="74"/>
      <c r="C9" s="78">
        <f>'DCF Model'!D5</f>
        <v>0.3</v>
      </c>
    </row>
    <row r="10" spans="1:4">
      <c r="A10" s="79" t="s">
        <v>82</v>
      </c>
      <c r="B10" s="79"/>
      <c r="C10" s="80">
        <f>+C8*(1-C9)</f>
        <v>0</v>
      </c>
    </row>
    <row r="11" spans="1:4">
      <c r="A11" s="79"/>
      <c r="B11" s="79"/>
      <c r="C11" s="73"/>
    </row>
    <row r="12" spans="1:4">
      <c r="A12" s="72" t="s">
        <v>83</v>
      </c>
      <c r="B12" s="74"/>
      <c r="C12" s="74"/>
    </row>
    <row r="13" spans="1:4">
      <c r="A13" s="74" t="s">
        <v>84</v>
      </c>
      <c r="B13" s="74"/>
      <c r="C13" s="81">
        <v>3.5000000000000003E-2</v>
      </c>
    </row>
    <row r="14" spans="1:4">
      <c r="A14" s="74" t="s">
        <v>85</v>
      </c>
      <c r="B14" s="74"/>
      <c r="C14" s="81">
        <v>7.4999999999999997E-2</v>
      </c>
    </row>
    <row r="15" spans="1:4">
      <c r="A15" s="74" t="s">
        <v>86</v>
      </c>
      <c r="B15" s="74"/>
      <c r="C15" s="82">
        <f>C5/(1+((1-C9)*(C3/C4)))</f>
        <v>1.5696866845832955</v>
      </c>
    </row>
    <row r="16" spans="1:4">
      <c r="A16" s="79" t="s">
        <v>87</v>
      </c>
      <c r="B16" s="74"/>
      <c r="C16" s="80">
        <f>+C13+(C15*C14)</f>
        <v>0.15272650134374716</v>
      </c>
    </row>
    <row r="17" spans="1:3">
      <c r="A17" s="79"/>
      <c r="B17" s="74"/>
      <c r="C17" s="73"/>
    </row>
    <row r="18" spans="1:3">
      <c r="A18" s="72"/>
      <c r="B18" s="74"/>
      <c r="C18" s="74"/>
    </row>
    <row r="19" spans="1:3">
      <c r="A19" s="79" t="s">
        <v>88</v>
      </c>
      <c r="B19" s="74"/>
      <c r="C19" s="83">
        <f>(C3*C10)+(C4*C16)</f>
        <v>0.12273046906725871</v>
      </c>
    </row>
    <row r="20" spans="1:3">
      <c r="A20" s="84"/>
      <c r="B20" s="84"/>
      <c r="C20" s="84"/>
    </row>
  </sheetData>
  <mergeCells count="1">
    <mergeCell ref="A1:C1"/>
  </mergeCells>
  <pageMargins left="0.7" right="0.7" top="0.75" bottom="0.75" header="0.3" footer="0.3"/>
  <pageSetup orientation="landscape"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4018B-71C6-4BFF-B50C-9371C1765C27}">
  <sheetPr codeName="Sheet6"/>
  <dimension ref="A1:E23"/>
  <sheetViews>
    <sheetView workbookViewId="0">
      <selection activeCell="E13" sqref="E13"/>
    </sheetView>
  </sheetViews>
  <sheetFormatPr defaultColWidth="10" defaultRowHeight="15.75"/>
  <cols>
    <col min="1" max="1" width="34.375" bestFit="1" customWidth="1"/>
    <col min="2" max="5" width="10.375" bestFit="1" customWidth="1"/>
  </cols>
  <sheetData>
    <row r="1" spans="1:5">
      <c r="B1" s="89">
        <v>44012</v>
      </c>
      <c r="C1" s="89">
        <v>43646</v>
      </c>
      <c r="D1" s="89">
        <v>43281</v>
      </c>
      <c r="E1" s="89">
        <v>42916</v>
      </c>
    </row>
    <row r="2" spans="1:5">
      <c r="A2" t="s">
        <v>89</v>
      </c>
      <c r="B2">
        <v>0</v>
      </c>
      <c r="C2">
        <v>0</v>
      </c>
      <c r="D2">
        <v>0</v>
      </c>
      <c r="E2">
        <v>0</v>
      </c>
    </row>
    <row r="3" spans="1:5">
      <c r="A3" t="s">
        <v>90</v>
      </c>
      <c r="B3">
        <v>0</v>
      </c>
      <c r="C3">
        <v>0</v>
      </c>
      <c r="D3">
        <v>0</v>
      </c>
      <c r="E3">
        <v>0</v>
      </c>
    </row>
    <row r="4" spans="1:5">
      <c r="A4" t="s">
        <v>91</v>
      </c>
      <c r="B4">
        <v>-801363</v>
      </c>
      <c r="C4">
        <v>-813713</v>
      </c>
      <c r="D4">
        <v>-1315388</v>
      </c>
      <c r="E4">
        <v>-576522</v>
      </c>
    </row>
    <row r="5" spans="1:5">
      <c r="A5" t="s">
        <v>92</v>
      </c>
      <c r="B5">
        <v>0</v>
      </c>
      <c r="C5">
        <v>0</v>
      </c>
      <c r="D5">
        <v>0</v>
      </c>
      <c r="E5">
        <v>0</v>
      </c>
    </row>
    <row r="6" spans="1:5">
      <c r="A6" t="s">
        <v>93</v>
      </c>
      <c r="B6">
        <v>0</v>
      </c>
      <c r="C6">
        <v>0</v>
      </c>
      <c r="D6">
        <v>0</v>
      </c>
      <c r="E6">
        <v>0</v>
      </c>
    </row>
    <row r="7" spans="1:5">
      <c r="A7" t="s">
        <v>94</v>
      </c>
      <c r="B7">
        <v>0</v>
      </c>
      <c r="C7">
        <v>0</v>
      </c>
      <c r="D7">
        <v>0</v>
      </c>
      <c r="E7">
        <v>0</v>
      </c>
    </row>
    <row r="8" spans="1:5">
      <c r="A8" t="s">
        <v>95</v>
      </c>
      <c r="B8">
        <v>-746119</v>
      </c>
      <c r="C8">
        <v>-769634</v>
      </c>
      <c r="D8">
        <v>-1312389</v>
      </c>
      <c r="E8">
        <v>-576522</v>
      </c>
    </row>
    <row r="9" spans="1:5">
      <c r="A9" t="s">
        <v>96</v>
      </c>
      <c r="B9">
        <v>0</v>
      </c>
      <c r="C9">
        <v>0</v>
      </c>
      <c r="D9">
        <v>0</v>
      </c>
      <c r="E9">
        <v>0</v>
      </c>
    </row>
    <row r="10" spans="1:5">
      <c r="A10" t="s">
        <v>97</v>
      </c>
      <c r="B10">
        <v>-4775</v>
      </c>
      <c r="C10">
        <v>-4775</v>
      </c>
      <c r="D10">
        <v>-4775</v>
      </c>
      <c r="E10">
        <v>-4775</v>
      </c>
    </row>
    <row r="11" spans="1:5">
      <c r="A11" t="s">
        <v>98</v>
      </c>
      <c r="B11">
        <v>0</v>
      </c>
      <c r="C11">
        <v>0</v>
      </c>
      <c r="D11">
        <v>0</v>
      </c>
      <c r="E11">
        <v>0</v>
      </c>
    </row>
    <row r="12" spans="1:5">
      <c r="A12" t="s">
        <v>99</v>
      </c>
      <c r="B12">
        <v>-746119</v>
      </c>
      <c r="C12">
        <v>-769634</v>
      </c>
      <c r="D12">
        <v>-1312389</v>
      </c>
      <c r="E12">
        <v>-576522</v>
      </c>
    </row>
    <row r="13" spans="1:5">
      <c r="A13" t="s">
        <v>100</v>
      </c>
      <c r="B13">
        <v>-746119</v>
      </c>
      <c r="C13">
        <v>-769634</v>
      </c>
      <c r="D13">
        <v>-1312389</v>
      </c>
      <c r="E13">
        <v>-576522</v>
      </c>
    </row>
    <row r="14" spans="1:5">
      <c r="A14" t="s">
        <v>101</v>
      </c>
      <c r="B14">
        <v>-746119</v>
      </c>
      <c r="C14">
        <v>-769634</v>
      </c>
      <c r="D14">
        <v>-1312389</v>
      </c>
      <c r="E14">
        <v>-576522</v>
      </c>
    </row>
    <row r="15" spans="1:5">
      <c r="A15" t="s">
        <v>102</v>
      </c>
      <c r="B15">
        <v>0</v>
      </c>
      <c r="C15">
        <v>0</v>
      </c>
      <c r="D15">
        <v>0</v>
      </c>
      <c r="E15">
        <v>0</v>
      </c>
    </row>
    <row r="16" spans="1:5">
      <c r="A16" t="s">
        <v>103</v>
      </c>
      <c r="B16">
        <v>-801363</v>
      </c>
      <c r="C16">
        <v>-813713</v>
      </c>
      <c r="D16">
        <v>-1315388</v>
      </c>
      <c r="E16">
        <v>-576522</v>
      </c>
    </row>
    <row r="17" spans="1:5">
      <c r="A17" t="s">
        <v>104</v>
      </c>
      <c r="B17">
        <v>0</v>
      </c>
      <c r="C17">
        <v>0</v>
      </c>
      <c r="D17">
        <v>0</v>
      </c>
      <c r="E17">
        <v>0</v>
      </c>
    </row>
    <row r="18" spans="1:5">
      <c r="A18" t="s">
        <v>105</v>
      </c>
      <c r="B18">
        <v>0</v>
      </c>
      <c r="C18">
        <v>0</v>
      </c>
      <c r="D18">
        <v>0</v>
      </c>
      <c r="E18">
        <v>0</v>
      </c>
    </row>
    <row r="19" spans="1:5">
      <c r="A19" t="s">
        <v>106</v>
      </c>
      <c r="B19">
        <v>0</v>
      </c>
      <c r="C19">
        <v>0</v>
      </c>
      <c r="D19">
        <v>0</v>
      </c>
      <c r="E19">
        <v>0</v>
      </c>
    </row>
    <row r="20" spans="1:5">
      <c r="A20" t="s">
        <v>107</v>
      </c>
      <c r="B20">
        <v>678772</v>
      </c>
      <c r="C20">
        <v>780713</v>
      </c>
      <c r="D20">
        <v>535088</v>
      </c>
      <c r="E20">
        <v>576522</v>
      </c>
    </row>
    <row r="21" spans="1:5">
      <c r="A21" t="s">
        <v>108</v>
      </c>
      <c r="B21">
        <v>801363</v>
      </c>
      <c r="C21">
        <v>813713</v>
      </c>
      <c r="D21">
        <v>1315388</v>
      </c>
      <c r="E21">
        <v>576522</v>
      </c>
    </row>
    <row r="22" spans="1:5">
      <c r="A22" t="s">
        <v>109</v>
      </c>
      <c r="B22">
        <v>55244</v>
      </c>
      <c r="C22">
        <v>44079</v>
      </c>
      <c r="D22">
        <v>2999</v>
      </c>
      <c r="E22">
        <v>0</v>
      </c>
    </row>
    <row r="23" spans="1:5">
      <c r="A23" t="s">
        <v>110</v>
      </c>
      <c r="B23">
        <v>0</v>
      </c>
      <c r="C23">
        <v>0</v>
      </c>
      <c r="D23">
        <v>0</v>
      </c>
      <c r="E23">
        <v>0</v>
      </c>
    </row>
  </sheetData>
  <pageMargins left="0.7" right="0.7" top="0.75" bottom="0.75" header="0.3" footer="0.3"/>
  <pageSetup orientation="landscape"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DA42E-7105-41BD-89F9-9650B5AB0F31}">
  <sheetPr codeName="Sheet7"/>
  <dimension ref="A1:E15"/>
  <sheetViews>
    <sheetView workbookViewId="0">
      <selection activeCell="E25" sqref="E25"/>
    </sheetView>
  </sheetViews>
  <sheetFormatPr defaultRowHeight="15.75"/>
  <cols>
    <col min="1" max="1" width="34.125" bestFit="1" customWidth="1"/>
    <col min="2" max="4" width="10.25" bestFit="1" customWidth="1"/>
    <col min="5" max="5" width="9.625" bestFit="1" customWidth="1"/>
  </cols>
  <sheetData>
    <row r="1" spans="1:5">
      <c r="B1" s="89">
        <v>44012</v>
      </c>
      <c r="C1" s="89">
        <v>43646</v>
      </c>
      <c r="D1" s="89">
        <v>43281</v>
      </c>
      <c r="E1" s="89">
        <v>42916</v>
      </c>
    </row>
    <row r="2" spans="1:5">
      <c r="A2" t="s">
        <v>111</v>
      </c>
      <c r="B2">
        <v>-130190</v>
      </c>
      <c r="C2">
        <v>-599521</v>
      </c>
      <c r="D2">
        <v>-21395</v>
      </c>
      <c r="E2">
        <v>-21395</v>
      </c>
    </row>
    <row r="3" spans="1:5">
      <c r="A3" t="s">
        <v>112</v>
      </c>
      <c r="B3">
        <v>-816945</v>
      </c>
      <c r="C3">
        <v>-1173161</v>
      </c>
      <c r="D3">
        <v>3639293</v>
      </c>
      <c r="E3">
        <v>3639293</v>
      </c>
    </row>
    <row r="4" spans="1:5">
      <c r="A4" t="s">
        <v>113</v>
      </c>
      <c r="B4">
        <v>-27307</v>
      </c>
      <c r="C4">
        <v>77048</v>
      </c>
      <c r="D4">
        <v>-89179</v>
      </c>
      <c r="E4">
        <v>-89179</v>
      </c>
    </row>
    <row r="5" spans="1:5">
      <c r="A5" t="s">
        <v>114</v>
      </c>
      <c r="B5">
        <v>28826</v>
      </c>
      <c r="C5">
        <v>-195410</v>
      </c>
      <c r="D5">
        <v>229131</v>
      </c>
      <c r="E5">
        <v>0</v>
      </c>
    </row>
    <row r="6" spans="1:5">
      <c r="A6" t="s">
        <v>115</v>
      </c>
      <c r="B6">
        <v>66028</v>
      </c>
      <c r="C6">
        <v>172390</v>
      </c>
      <c r="D6">
        <v>871348</v>
      </c>
      <c r="E6">
        <v>871348</v>
      </c>
    </row>
    <row r="7" spans="1:5">
      <c r="A7" t="s">
        <v>116</v>
      </c>
      <c r="B7">
        <v>-4991</v>
      </c>
      <c r="C7">
        <v>-383</v>
      </c>
      <c r="D7">
        <v>-4500</v>
      </c>
      <c r="E7">
        <v>-4500</v>
      </c>
    </row>
    <row r="8" spans="1:5">
      <c r="A8" t="s">
        <v>117</v>
      </c>
      <c r="B8">
        <v>32808</v>
      </c>
      <c r="C8">
        <v>32808</v>
      </c>
      <c r="D8">
        <v>32808</v>
      </c>
      <c r="E8">
        <v>32808</v>
      </c>
    </row>
    <row r="9" spans="1:5">
      <c r="A9" t="s">
        <v>118</v>
      </c>
      <c r="B9">
        <v>0</v>
      </c>
      <c r="C9">
        <v>0</v>
      </c>
      <c r="D9">
        <v>4750000</v>
      </c>
      <c r="E9">
        <v>4750000</v>
      </c>
    </row>
    <row r="10" spans="1:5">
      <c r="A10" t="s">
        <v>119</v>
      </c>
      <c r="B10">
        <v>-36000</v>
      </c>
      <c r="C10">
        <v>-36000</v>
      </c>
      <c r="D10">
        <v>-250000</v>
      </c>
      <c r="E10">
        <v>-250000</v>
      </c>
    </row>
    <row r="11" spans="1:5">
      <c r="A11" t="s">
        <v>99</v>
      </c>
      <c r="B11">
        <v>-746119</v>
      </c>
      <c r="C11">
        <v>-769634</v>
      </c>
      <c r="D11">
        <v>-1312389</v>
      </c>
      <c r="E11">
        <v>-576522</v>
      </c>
    </row>
    <row r="12" spans="1:5">
      <c r="A12" t="s">
        <v>120</v>
      </c>
      <c r="B12">
        <v>0</v>
      </c>
      <c r="C12">
        <v>142349</v>
      </c>
      <c r="D12">
        <v>-448723</v>
      </c>
      <c r="E12">
        <v>-448723</v>
      </c>
    </row>
    <row r="13" spans="1:5">
      <c r="A13" t="s">
        <v>121</v>
      </c>
      <c r="B13">
        <v>-36000</v>
      </c>
      <c r="C13">
        <v>142349</v>
      </c>
      <c r="D13">
        <v>4051277</v>
      </c>
      <c r="E13">
        <v>4051277</v>
      </c>
    </row>
    <row r="14" spans="1:5">
      <c r="A14" t="s">
        <v>122</v>
      </c>
      <c r="B14">
        <v>-650755</v>
      </c>
      <c r="C14">
        <v>-715989</v>
      </c>
      <c r="D14">
        <v>-305589</v>
      </c>
      <c r="E14">
        <v>-305589</v>
      </c>
    </row>
    <row r="15" spans="1:5">
      <c r="A15" t="s">
        <v>123</v>
      </c>
      <c r="B15">
        <v>-130190</v>
      </c>
      <c r="C15">
        <v>-599521</v>
      </c>
      <c r="D15">
        <v>-106395</v>
      </c>
      <c r="E15">
        <v>-106395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32897-B330-438D-9600-86DB1618294B}">
  <sheetPr codeName="Sheet8"/>
  <dimension ref="A1:E18"/>
  <sheetViews>
    <sheetView workbookViewId="0">
      <selection activeCell="B18" sqref="B18"/>
    </sheetView>
  </sheetViews>
  <sheetFormatPr defaultColWidth="10" defaultRowHeight="15.75"/>
  <cols>
    <col min="1" max="1" width="27.875" bestFit="1" customWidth="1"/>
    <col min="2" max="5" width="10.5" bestFit="1" customWidth="1"/>
  </cols>
  <sheetData>
    <row r="1" spans="1:5">
      <c r="B1" s="89">
        <v>44012</v>
      </c>
      <c r="C1" s="89">
        <v>43646</v>
      </c>
      <c r="D1" s="89">
        <v>43281</v>
      </c>
      <c r="E1" s="89">
        <v>42916</v>
      </c>
    </row>
    <row r="2" spans="1:5">
      <c r="A2" t="s">
        <v>124</v>
      </c>
      <c r="B2">
        <v>5551</v>
      </c>
      <c r="C2">
        <v>3211</v>
      </c>
      <c r="D2">
        <v>147081</v>
      </c>
      <c r="E2">
        <v>0</v>
      </c>
    </row>
    <row r="3" spans="1:5">
      <c r="A3" t="s">
        <v>144</v>
      </c>
      <c r="B3">
        <v>1107450</v>
      </c>
      <c r="C3">
        <v>1107450</v>
      </c>
      <c r="D3">
        <v>953700</v>
      </c>
      <c r="E3">
        <v>0</v>
      </c>
    </row>
    <row r="4" spans="1:5">
      <c r="A4" t="s">
        <v>35</v>
      </c>
      <c r="B4">
        <v>1649187</v>
      </c>
      <c r="C4">
        <v>2466133</v>
      </c>
      <c r="D4">
        <v>3639293</v>
      </c>
      <c r="E4">
        <v>0</v>
      </c>
    </row>
    <row r="5" spans="1:5">
      <c r="A5" t="s">
        <v>125</v>
      </c>
      <c r="B5">
        <v>4577708</v>
      </c>
      <c r="C5">
        <v>4527708</v>
      </c>
      <c r="D5">
        <v>4506110</v>
      </c>
      <c r="E5">
        <v>3000</v>
      </c>
    </row>
    <row r="6" spans="1:5">
      <c r="A6" t="s">
        <v>126</v>
      </c>
      <c r="B6">
        <v>42438</v>
      </c>
      <c r="C6">
        <v>15131</v>
      </c>
      <c r="D6">
        <v>92179</v>
      </c>
      <c r="E6">
        <v>3000</v>
      </c>
    </row>
    <row r="7" spans="1:5">
      <c r="A7" t="s">
        <v>127</v>
      </c>
      <c r="B7">
        <v>2877632</v>
      </c>
      <c r="C7">
        <v>3513989</v>
      </c>
      <c r="D7">
        <v>4071837</v>
      </c>
      <c r="E7">
        <v>-93087</v>
      </c>
    </row>
    <row r="8" spans="1:5">
      <c r="A8" t="s">
        <v>128</v>
      </c>
      <c r="B8">
        <v>0</v>
      </c>
      <c r="C8">
        <v>0</v>
      </c>
      <c r="D8">
        <v>0</v>
      </c>
      <c r="E8">
        <v>15000</v>
      </c>
    </row>
    <row r="9" spans="1:5">
      <c r="A9" t="s">
        <v>129</v>
      </c>
      <c r="B9">
        <v>5927</v>
      </c>
      <c r="C9">
        <v>8499</v>
      </c>
      <c r="D9">
        <v>0</v>
      </c>
      <c r="E9">
        <v>0</v>
      </c>
    </row>
    <row r="10" spans="1:5">
      <c r="A10" t="s">
        <v>130</v>
      </c>
      <c r="B10">
        <v>116703</v>
      </c>
      <c r="C10">
        <v>56941</v>
      </c>
      <c r="D10">
        <v>20503</v>
      </c>
      <c r="E10">
        <v>0</v>
      </c>
    </row>
    <row r="11" spans="1:5">
      <c r="A11" t="s">
        <v>131</v>
      </c>
      <c r="B11">
        <v>1255695</v>
      </c>
      <c r="C11">
        <v>1081149</v>
      </c>
      <c r="D11">
        <v>576083</v>
      </c>
      <c r="E11">
        <v>0</v>
      </c>
    </row>
    <row r="12" spans="1:5">
      <c r="A12" t="s">
        <v>132</v>
      </c>
      <c r="B12">
        <v>-2924229</v>
      </c>
      <c r="C12">
        <v>-2178110</v>
      </c>
      <c r="D12">
        <v>-1408476</v>
      </c>
      <c r="E12">
        <v>-96087</v>
      </c>
    </row>
    <row r="13" spans="1:5">
      <c r="A13" t="s">
        <v>133</v>
      </c>
      <c r="B13">
        <v>2972194</v>
      </c>
      <c r="C13">
        <v>3582296</v>
      </c>
      <c r="D13">
        <v>4327055</v>
      </c>
      <c r="E13">
        <v>18000</v>
      </c>
    </row>
    <row r="14" spans="1:5">
      <c r="A14" t="s">
        <v>134</v>
      </c>
      <c r="B14">
        <v>1716499</v>
      </c>
      <c r="C14">
        <v>2501147</v>
      </c>
      <c r="D14">
        <v>3750972</v>
      </c>
      <c r="E14">
        <v>3000</v>
      </c>
    </row>
    <row r="15" spans="1:5">
      <c r="A15" t="s">
        <v>135</v>
      </c>
      <c r="B15">
        <v>94562</v>
      </c>
      <c r="C15">
        <v>68307</v>
      </c>
      <c r="D15">
        <v>255218</v>
      </c>
      <c r="E15">
        <v>111087</v>
      </c>
    </row>
    <row r="16" spans="1:5">
      <c r="A16" t="s">
        <v>136</v>
      </c>
      <c r="B16">
        <v>94562</v>
      </c>
      <c r="C16">
        <v>68307</v>
      </c>
      <c r="D16">
        <v>255218</v>
      </c>
      <c r="E16">
        <v>111087</v>
      </c>
    </row>
    <row r="17" spans="1:5">
      <c r="A17" t="s">
        <v>137</v>
      </c>
      <c r="B17">
        <v>2877632</v>
      </c>
      <c r="C17">
        <v>3513989</v>
      </c>
      <c r="D17">
        <v>4071837</v>
      </c>
      <c r="E17">
        <v>-93087</v>
      </c>
    </row>
    <row r="18" spans="1:5">
      <c r="A18" t="s">
        <v>138</v>
      </c>
      <c r="B18">
        <v>116703</v>
      </c>
      <c r="C18">
        <v>56941</v>
      </c>
      <c r="D18">
        <v>20503</v>
      </c>
      <c r="E18">
        <v>0</v>
      </c>
    </row>
  </sheetData>
  <pageMargins left="0.7" right="0.7" top="0.75" bottom="0.75" header="0.3" footer="0.3"/>
  <pageSetup orientation="landscape"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C18FA-ED83-4601-A9E7-60C4E7905EFD}">
  <sheetPr codeName="Sheet9"/>
  <dimension ref="A1"/>
  <sheetViews>
    <sheetView workbookViewId="0">
      <selection activeCell="D13" sqref="D13"/>
    </sheetView>
  </sheetViews>
  <sheetFormatPr defaultColWidth="10" defaultRowHeight="15"/>
  <cols>
    <col min="1" max="16384" width="10" style="71"/>
  </cols>
  <sheetData/>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7"/>
  <sheetViews>
    <sheetView workbookViewId="0"/>
  </sheetViews>
  <sheetFormatPr defaultColWidth="8.875" defaultRowHeight="15.75"/>
  <cols>
    <col min="1" max="1" width="13.5" style="1" bestFit="1" customWidth="1"/>
    <col min="2" max="2" width="9.25" style="1" customWidth="1"/>
    <col min="3" max="16384" width="8.875" style="1"/>
  </cols>
  <sheetData>
    <row r="1" spans="1:2">
      <c r="A1" s="1" t="s">
        <v>0</v>
      </c>
      <c r="B1" s="1" t="s">
        <v>6</v>
      </c>
    </row>
    <row r="2" spans="1:2">
      <c r="A2" s="1" t="s">
        <v>1</v>
      </c>
    </row>
    <row r="3" spans="1:2">
      <c r="A3" s="1" t="s">
        <v>9</v>
      </c>
    </row>
    <row r="4" spans="1:2">
      <c r="A4" s="1" t="s">
        <v>10</v>
      </c>
    </row>
    <row r="5" spans="1:2">
      <c r="A5" s="1" t="s">
        <v>2</v>
      </c>
    </row>
    <row r="6" spans="1:2">
      <c r="A6" s="1" t="s">
        <v>3</v>
      </c>
      <c r="B6" s="1" t="b">
        <v>0</v>
      </c>
    </row>
    <row r="7" spans="1:2">
      <c r="A7" s="1" t="s">
        <v>4</v>
      </c>
    </row>
    <row r="8" spans="1:2">
      <c r="A8" s="1" t="s">
        <v>5</v>
      </c>
      <c r="B8" s="1" t="b">
        <v>0</v>
      </c>
    </row>
    <row r="13" spans="1:2">
      <c r="A13" s="2" t="s">
        <v>7</v>
      </c>
    </row>
    <row r="14" spans="1:2">
      <c r="A14" s="1" t="s">
        <v>11</v>
      </c>
    </row>
    <row r="15" spans="1:2">
      <c r="A15" s="1" t="s">
        <v>12</v>
      </c>
    </row>
    <row r="16" spans="1:2">
      <c r="A16" s="1" t="s">
        <v>8</v>
      </c>
    </row>
    <row r="17" spans="1:1">
      <c r="A17" s="1" t="s">
        <v>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Overview</vt:lpstr>
      <vt:lpstr>DCF Model</vt:lpstr>
      <vt:lpstr>WACC</vt:lpstr>
      <vt:lpstr>Income Statement</vt:lpstr>
      <vt:lpstr>Cash Flow Statement</vt:lpstr>
      <vt:lpstr>Balance Sheet Statement</vt:lpstr>
      <vt:lpstr>Comparable Companies</vt:lpstr>
      <vt:lpstr>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Luke Taylor</cp:lastModifiedBy>
  <dcterms:created xsi:type="dcterms:W3CDTF">2015-01-25T11:31:25Z</dcterms:created>
  <dcterms:modified xsi:type="dcterms:W3CDTF">2021-05-05T21:59:51Z</dcterms:modified>
</cp:coreProperties>
</file>